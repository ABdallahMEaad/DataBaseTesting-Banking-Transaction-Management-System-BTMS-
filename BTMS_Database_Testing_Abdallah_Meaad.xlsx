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mc:AlternateContent xmlns:mc="http://schemas.openxmlformats.org/markup-compatibility/2006">
    <mc:Choice Requires="x15">
      <x15ac:absPath xmlns:x15ac="http://schemas.microsoft.com/office/spreadsheetml/2010/11/ac" url="D:\testing\"/>
    </mc:Choice>
  </mc:AlternateContent>
  <xr:revisionPtr revIDLastSave="0" documentId="13_ncr:1_{DCEDB0BF-BAF6-4525-B6D4-FFB584F170D4}" xr6:coauthVersionLast="47" xr6:coauthVersionMax="47" xr10:uidLastSave="{00000000-0000-0000-0000-000000000000}"/>
  <bookViews>
    <workbookView xWindow="-108" yWindow="-108" windowWidth="23256" windowHeight="12456" tabRatio="500" xr2:uid="{00000000-000D-0000-FFFF-FFFF00000000}"/>
  </bookViews>
  <sheets>
    <sheet name="Summary" sheetId="1" r:id="rId1"/>
    <sheet name="Test Cases" sheetId="2" r:id="rId2"/>
    <sheet name="Bug Reports" sheetId="3" r:id="rId3"/>
    <sheet name="DB Schema" sheetId="4" r:id="rId4"/>
    <sheet name="DB ERD" sheetId="5" r:id="rId5"/>
    <sheet name="DB Seed Data" sheetId="6" r:id="rId6"/>
    <sheet name="DB Scripts" sheetId="7" r:id="rId7"/>
  </sheets>
  <definedNames>
    <definedName name="_xlnm._FilterDatabase" localSheetId="2" hidden="1">'Bug Reports'!$A$4:$P$22</definedName>
    <definedName name="_xlnm._FilterDatabase" localSheetId="3" hidden="1">'DB Schema'!$A$4:$G$33</definedName>
    <definedName name="_xlnm._FilterDatabase" localSheetId="1" hidden="1">'Test Cases'!$A$4:$O$107</definedName>
  </definedNames>
  <calcPr calcId="191029" iterateDelta="1E-4"/>
  <extLst>
    <ext xmlns:loext="http://schemas.libreoffice.org/" uri="{7626C862-2A13-11E5-B345-FEFF819CDC9F}">
      <loext:extCalcPr stringRefSyntax="ExcelA1"/>
    </ext>
  </extLst>
</workbook>
</file>

<file path=xl/calcChain.xml><?xml version="1.0" encoding="utf-8"?>
<calcChain xmlns="http://schemas.openxmlformats.org/spreadsheetml/2006/main">
  <c r="C40" i="1" l="1"/>
  <c r="C39" i="1"/>
  <c r="C38" i="1"/>
  <c r="C37" i="1"/>
  <c r="F33" i="1"/>
  <c r="E33" i="1"/>
  <c r="D33" i="1"/>
  <c r="G33" i="1" s="1"/>
  <c r="C33" i="1"/>
  <c r="F32" i="1"/>
  <c r="E32" i="1"/>
  <c r="D32" i="1"/>
  <c r="G32" i="1" s="1"/>
  <c r="C32" i="1"/>
  <c r="F31" i="1"/>
  <c r="E31" i="1"/>
  <c r="D31" i="1"/>
  <c r="G31" i="1" s="1"/>
  <c r="C31" i="1"/>
  <c r="F30" i="1"/>
  <c r="E30" i="1"/>
  <c r="D30" i="1"/>
  <c r="G30" i="1" s="1"/>
  <c r="C30" i="1"/>
  <c r="F29" i="1"/>
  <c r="E29" i="1"/>
  <c r="D29" i="1"/>
  <c r="G29" i="1" s="1"/>
  <c r="C29" i="1"/>
  <c r="F28" i="1"/>
  <c r="E28" i="1"/>
  <c r="D28" i="1"/>
  <c r="G28" i="1" s="1"/>
  <c r="C28" i="1"/>
  <c r="F27" i="1"/>
  <c r="E27" i="1"/>
  <c r="D27" i="1"/>
  <c r="G27" i="1" s="1"/>
  <c r="C27" i="1"/>
  <c r="C22" i="1"/>
  <c r="C20" i="1"/>
  <c r="C21" i="1" s="1"/>
  <c r="C19" i="1"/>
  <c r="C17" i="1"/>
  <c r="C16" i="1"/>
  <c r="C15" i="1"/>
  <c r="C23" i="1" s="1"/>
  <c r="C14" i="1"/>
  <c r="C18" i="1" s="1"/>
  <c r="C13" i="1"/>
</calcChain>
</file>

<file path=xl/sharedStrings.xml><?xml version="1.0" encoding="utf-8"?>
<sst xmlns="http://schemas.openxmlformats.org/spreadsheetml/2006/main" count="2257" uniqueCount="943">
  <si>
    <t>Banking Transaction Management System (BTMS)</t>
  </si>
  <si>
    <t>Database Testing - Manual (INSERT / UPDATE validation)</t>
  </si>
  <si>
    <t>Prepared by</t>
  </si>
  <si>
    <t>Abdallah Ahmed Meaad  -  QA / QC Engineer (Manual &amp; Automation Testing)  -  Tel: 01022656255</t>
  </si>
  <si>
    <t>Test date</t>
  </si>
  <si>
    <t>2026-08-15</t>
  </si>
  <si>
    <t>Environment</t>
  </si>
  <si>
    <t>MySQL 8.0.46 (Linux, case-sensitive names), STRICT mode - real btms_db from btms-db.sql</t>
  </si>
  <si>
    <t>System under test</t>
  </si>
  <si>
    <t>LinkedIn</t>
  </si>
  <si>
    <t>https://www.linkedin.com/in/abdallah-meaad</t>
  </si>
  <si>
    <t>Portfolio</t>
  </si>
  <si>
    <t>https://abdallahmeaad.github.io/My_CV</t>
  </si>
  <si>
    <t>1. Execution summary</t>
  </si>
  <si>
    <t>Metric</t>
  </si>
  <si>
    <t>Value</t>
  </si>
  <si>
    <t>Total test cases</t>
  </si>
  <si>
    <t>Passed</t>
  </si>
  <si>
    <t>Failed</t>
  </si>
  <si>
    <t>Blocked</t>
  </si>
  <si>
    <t>Not run</t>
  </si>
  <si>
    <t>Pass rate</t>
  </si>
  <si>
    <t>Total weight (BRD sizing)</t>
  </si>
  <si>
    <t>Weighted pass score</t>
  </si>
  <si>
    <t>Weighted pass rate</t>
  </si>
  <si>
    <t>Total defects</t>
  </si>
  <si>
    <t>Release recommendation</t>
  </si>
  <si>
    <t>2. Results by module</t>
  </si>
  <si>
    <t>Module</t>
  </si>
  <si>
    <t>Total</t>
  </si>
  <si>
    <t>Pass</t>
  </si>
  <si>
    <t>Fail</t>
  </si>
  <si>
    <t>FR-1 Customers</t>
  </si>
  <si>
    <t>FR-2 Accounts</t>
  </si>
  <si>
    <t>FR-3 Transactions</t>
  </si>
  <si>
    <t>FR-4 Categories</t>
  </si>
  <si>
    <t>FR-5 Fees</t>
  </si>
  <si>
    <t>FR-6 Branches/Employees</t>
  </si>
  <si>
    <t>NFR Structural</t>
  </si>
  <si>
    <t>3. Defects by severity</t>
  </si>
  <si>
    <t>Severity</t>
  </si>
  <si>
    <t>Count</t>
  </si>
  <si>
    <t>Critical</t>
  </si>
  <si>
    <t>High</t>
  </si>
  <si>
    <t>Medium</t>
  </si>
  <si>
    <t>Low</t>
  </si>
  <si>
    <t>4. Assumptions used (the BRD is silent on these)</t>
  </si>
  <si>
    <t>A-01</t>
  </si>
  <si>
    <t>Daily transfer limit is below 4,000,000 (value not defined in the BRD).</t>
  </si>
  <si>
    <t>A-02</t>
  </si>
  <si>
    <t>An 'external transfer' is a transfer between accounts of different customers.</t>
  </si>
  <si>
    <t>A-03</t>
  </si>
  <si>
    <t>Fee formula/rate is not defined in the BRD; only the 10% cap is tested.</t>
  </si>
  <si>
    <t>A-04</t>
  </si>
  <si>
    <t>Data-quality checks (future date of birth, e-mail format, blank strings) are expected although not literally in the BRD.</t>
  </si>
  <si>
    <t>A-05</t>
  </si>
  <si>
    <t>Only transactions with status 'Success' move money; Pending and Failed must not change balances.</t>
  </si>
  <si>
    <t>A-06</t>
  </si>
  <si>
    <t>Tests were executed on MySQL 8.0.46 (Linux, lower_case_table_names=0) by loading the real btms-db.sql dump (server 8.0.43). Same 8.0 series: identical constraint behaviour.</t>
  </si>
  <si>
    <t>5. Workbook guide</t>
  </si>
  <si>
    <t>Test Cases</t>
  </si>
  <si>
    <t>103 manual test cases with steps, SQL, expected/actual result and a Status dropdown</t>
  </si>
  <si>
    <t>Bug Reports</t>
  </si>
  <si>
    <t>17 defects with reproduction SQL, expected/actual, impact and fix suggestion</t>
  </si>
  <si>
    <t>DB Schema</t>
  </si>
  <si>
    <t>Table/column/constraint reference of the real btms_db, mapped to the BRD rules</t>
  </si>
  <si>
    <t>DB Seed Data</t>
  </si>
  <si>
    <t>Baseline data every test starts from</t>
  </si>
  <si>
    <t>DB Scripts</t>
  </si>
  <si>
    <t>Copy-paste scripts taken from btms-db.sql: create the database, then load the seed data</t>
  </si>
  <si>
    <t>DB ERD</t>
  </si>
  <si>
    <t>ERD of the real database (MySQL Workbench) with the 6 foreign-key relationships</t>
  </si>
  <si>
    <t>BTMS - Manual Test Cases (Database Testing: INSERT / UPDATE)</t>
  </si>
  <si>
    <t>Prepared by Abdallah Ahmed Meaad  |  QA / QC Engineer  |  Environment: MySQL 8.0.46 - real btms_db (btms-db.sql, dump of MySQL 8.0.43)  |  Executed 2026-08-15</t>
  </si>
  <si>
    <t>TC ID</t>
  </si>
  <si>
    <t>Module (BRD)</t>
  </si>
  <si>
    <t>Test Title</t>
  </si>
  <si>
    <t>Type</t>
  </si>
  <si>
    <t>Priority</t>
  </si>
  <si>
    <t>Weight</t>
  </si>
  <si>
    <t>Preconditions</t>
  </si>
  <si>
    <t>Manual Test Steps</t>
  </si>
  <si>
    <t>SQL to Execute</t>
  </si>
  <si>
    <t>Expected Result</t>
  </si>
  <si>
    <t>Actual Result</t>
  </si>
  <si>
    <t>Status</t>
  </si>
  <si>
    <t>Bug ID</t>
  </si>
  <si>
    <t>Tested By</t>
  </si>
  <si>
    <t>Test Date</t>
  </si>
  <si>
    <t>TC-CUS-01</t>
  </si>
  <si>
    <t>Insert a valid customer</t>
  </si>
  <si>
    <t>Positive</t>
  </si>
  <si>
    <t>Database btms_db created from the 'DB Scripts' sheet; baseline seed data loaded (see 'DB Seed Data').</t>
  </si>
  <si>
    <t>1. Open the MySQL client and run: USE btms_db;
2. Run: START TRANSACTION;
3. Run the test statement (see SQL column).
4. Run the verification SELECT (see SQL column) and note the result.
5. Run: ROLLBACK;  (keeps the baseline data clean for the next test)</t>
  </si>
  <si>
    <t>START TRANSACTION;
INSERT INTO customers (full_name,date_of_birth,email,phone) VALUES ('Abdallah Meaad','1992-01-01','test.user@example.com','01022656255');
SELECT COUNT(*) FROM customers WHERE email='test.user@example.com';
ROLLBACK;</t>
  </si>
  <si>
    <t>Statement is accepted; row count = 1</t>
  </si>
  <si>
    <t>row count = 1</t>
  </si>
  <si>
    <t>-</t>
  </si>
  <si>
    <t>Abdallah Ahmed Meaad</t>
  </si>
  <si>
    <t>TC-CUS-02</t>
  </si>
  <si>
    <t>Insert customer with duplicate email</t>
  </si>
  <si>
    <t>Negative</t>
  </si>
  <si>
    <t>1. Open the MySQL client and run: USE btms_db;
2. Run: START TRANSACTION;
3. Run the test statement (see SQL column).
4. Note whether the statement is rejected with an error.
5. Run: ROLLBACK;  (keeps the baseline data clean for the next test)</t>
  </si>
  <si>
    <t>START TRANSACTION;
INSERT INTO customers (full_name,date_of_birth,email,phone) VALUES ('Abdallah Meaad','1992-01-01','ahmed.hassan@example.com','01022656255');
ROLLBACK;</t>
  </si>
  <si>
    <t>Statement is rejected with an error (constraint / trigger)</t>
  </si>
  <si>
    <t>Rejected - 1062: Duplicate entry 'ahmed.hassan@example.com' for key 'customers.email'</t>
  </si>
  <si>
    <t>TC-CUS-03</t>
  </si>
  <si>
    <t>Duplicate email differing only by letter case</t>
  </si>
  <si>
    <t>Edge</t>
  </si>
  <si>
    <t>START TRANSACTION;
INSERT INTO customers (full_name,date_of_birth,email,phone) VALUES ('Abdallah Meaad','1992-01-01','AHMED.HASSAN@EXAMPLE.COM','01022656255');
ROLLBACK;</t>
  </si>
  <si>
    <t>Rejected - 1062: Duplicate entry 'AHMED.HASSAN@EXAMPLE.COM' for key 'customers.email'</t>
  </si>
  <si>
    <t>TC-CUS-04</t>
  </si>
  <si>
    <t>Insert customer with NULL full_name</t>
  </si>
  <si>
    <t>START TRANSACTION;
INSERT INTO customers (full_name,date_of_birth,email,phone) VALUES (NULL,'1992-01-01','test.user@example.com','01000000000');
ROLLBACK;</t>
  </si>
  <si>
    <t>Rejected - 1048: Column 'full_name' cannot be null</t>
  </si>
  <si>
    <t>TC-CUS-05</t>
  </si>
  <si>
    <t>Insert customer with NULL date_of_birth</t>
  </si>
  <si>
    <t>START TRANSACTION;
INSERT INTO customers (full_name,date_of_birth,email,phone) VALUES ('Abdallah Meaad',NULL,'test.user@example.com','01022656255');
ROLLBACK;</t>
  </si>
  <si>
    <t>Rejected - 1048: Column 'date_of_birth' cannot be null</t>
  </si>
  <si>
    <t>TC-CUS-06</t>
  </si>
  <si>
    <t>Insert customer with NULL email</t>
  </si>
  <si>
    <t>START TRANSACTION;
INSERT INTO customers (full_name,date_of_birth,email,phone) VALUES ('Abdallah Meaad','1992-01-01',NULL,'01022656255');
ROLLBACK;</t>
  </si>
  <si>
    <t>Rejected - 1048: Column 'email' cannot be null</t>
  </si>
  <si>
    <t>TC-CUS-07</t>
  </si>
  <si>
    <t>Insert customer with NULL phone</t>
  </si>
  <si>
    <t>START TRANSACTION;
INSERT INTO customers (full_name,date_of_birth,email,phone) VALUES ('Abdallah Meaad','1992-01-01','test.user@example.com',NULL);
ROLLBACK;</t>
  </si>
  <si>
    <t>Rejected - 1048: Column 'phone' cannot be null</t>
  </si>
  <si>
    <t>TC-CUS-08</t>
  </si>
  <si>
    <t>Phone containing letters ('0101abc4567')</t>
  </si>
  <si>
    <t>START TRANSACTION;
INSERT INTO customers (full_name,date_of_birth,email,phone) VALUES ('Abdallah Meaad','1992-01-01','test.user@example.com','0101abc4567');
ROLLBACK;</t>
  </si>
  <si>
    <t>Statement is rejected with an error (constraint / trigger)
Ref: BRD FR-1: phone must contain numeric values only</t>
  </si>
  <si>
    <t>ACCEPTED - no error raised; rule is not enforced by the database</t>
  </si>
  <si>
    <t>BUG-007</t>
  </si>
  <si>
    <t>TC-CUS-09</t>
  </si>
  <si>
    <t>Phone containing symbols ('+20-101-2345')</t>
  </si>
  <si>
    <t>START TRANSACTION;
INSERT INTO customers (full_name,date_of_birth,email,phone) VALUES ('Abdallah Meaad','1992-01-01','test.user@example.com','+20-101-2345');
ROLLBACK;</t>
  </si>
  <si>
    <t>Statement is rejected with an error (constraint / trigger)
Ref: BRD FR-1: numeric values only</t>
  </si>
  <si>
    <t>TC-CUS-10</t>
  </si>
  <si>
    <t>Phone as empty string</t>
  </si>
  <si>
    <t>START TRANSACTION;
INSERT INTO customers (full_name,date_of_birth,email,phone) VALUES ('Abdallah Meaad','1992-01-01','test.user@example.com','');
ROLLBACK;</t>
  </si>
  <si>
    <t>Statement is rejected with an error (constraint / trigger)
Ref: Mandatory field must not be satisfied by an empty string</t>
  </si>
  <si>
    <t>BUG-015</t>
  </si>
  <si>
    <t>TC-CUS-11</t>
  </si>
  <si>
    <t>Date of birth in the future (2099-01-01)</t>
  </si>
  <si>
    <t>START TRANSACTION;
INSERT INTO customers (full_name,date_of_birth,email,phone) VALUES ('Abdallah Meaad','2099-01-01','test.user@example.com','01022656255');
ROLLBACK;</t>
  </si>
  <si>
    <t>Statement is rejected with an error (constraint / trigger)
Ref: Data-integrity expectation (assumption A-04)</t>
  </si>
  <si>
    <t>BUG-016</t>
  </si>
  <si>
    <t>TC-CUS-12</t>
  </si>
  <si>
    <t>Malformed email ('not-an-email')</t>
  </si>
  <si>
    <t>START TRANSACTION;
INSERT INTO customers (full_name,date_of_birth,email,phone) VALUES ('Abdallah Meaad','1992-01-01','not-an-email','01022656255');
ROLLBACK;</t>
  </si>
  <si>
    <t>Statement is rejected with an error (constraint / trigger)
Ref: Data-quality expectation (assumption A-04)</t>
  </si>
  <si>
    <t>TC-CUS-13</t>
  </si>
  <si>
    <t>full_name longer than 100 characters</t>
  </si>
  <si>
    <t>Boundary</t>
  </si>
  <si>
    <t>START TRANSACTION;
INSERT INTO customers (full_name,date_of_birth,email,phone) VALUES ('AAAAAAAAAAAAAAAAAAAAAAAAAAAAAAAAAAAAAAAAAAAAAAAAAAAAAAAAAAAAAAAAAAAAAAAAAAAAAAAAAAAAAAAAAAAAAAAAAAAAA','1992-01-01','test.user@example.com','01000000000');
ROLLBACK;</t>
  </si>
  <si>
    <t>Rejected - 1406: Data too long for column 'full_name' at row 1</t>
  </si>
  <si>
    <t>TC-CUS-14</t>
  </si>
  <si>
    <t>Full name as empty string</t>
  </si>
  <si>
    <t>START TRANSACTION;
INSERT INTO customers (full_name,date_of_birth,email,phone) VALUES ('','1992-01-01','test.user@example.com','01000000000');
ROLLBACK;</t>
  </si>
  <si>
    <t>TC-CUS-15</t>
  </si>
  <si>
    <t>Update customer e-mail to an existing e-mail</t>
  </si>
  <si>
    <t>START TRANSACTION;
UPDATE customers SET email='sara.ali@example.com' WHERE customer_id=1;
ROLLBACK;</t>
  </si>
  <si>
    <t>Rejected - 1062: Duplicate entry 'sara.ali@example.com' for key 'customers.email'</t>
  </si>
  <si>
    <t>TC-CUS-16</t>
  </si>
  <si>
    <t>Update customer phone to non-numeric value</t>
  </si>
  <si>
    <t>START TRANSACTION;
UPDATE customers SET phone='ABC123' WHERE customer_id=1;
ROLLBACK;</t>
  </si>
  <si>
    <t>Statement is rejected with an error (constraint / trigger)
Ref: BRD FR-1: numeric only</t>
  </si>
  <si>
    <t>TC-CUS-17</t>
  </si>
  <si>
    <t>Update full_name to NULL</t>
  </si>
  <si>
    <t>START TRANSACTION;
UPDATE customers SET full_name=NULL WHERE customer_id=1;
ROLLBACK;</t>
  </si>
  <si>
    <t>TC-CUS-18</t>
  </si>
  <si>
    <t>Update customer phone to a valid number</t>
  </si>
  <si>
    <t>START TRANSACTION;
UPDATE customers SET phone='01099999999' WHERE customer_id=2;
SELECT phone FROM customers WHERE customer_id=2;
ROLLBACK;</t>
  </si>
  <si>
    <t>Statement is accepted; phone = 01099999999</t>
  </si>
  <si>
    <t>phone = 01099999999</t>
  </si>
  <si>
    <t>TC-CUS-19</t>
  </si>
  <si>
    <t>Update date_of_birth to NULL</t>
  </si>
  <si>
    <t>START TRANSACTION;
UPDATE customers SET date_of_birth=NULL WHERE customer_id=1;
ROLLBACK;</t>
  </si>
  <si>
    <t>TC-ACC-01</t>
  </si>
  <si>
    <t>Insert valid Savings account</t>
  </si>
  <si>
    <t>START TRANSACTION;
INSERT INTO accounts (customer_id,account_type,balance) VALUES (2,'Savings',100.00);
SELECT COUNT(*) FROM accounts WHERE customer_id=2;
ROLLBACK;</t>
  </si>
  <si>
    <t>Statement is accepted; accounts of customer 2 = 2</t>
  </si>
  <si>
    <t>accounts of customer 2 = 2</t>
  </si>
  <si>
    <t>TC-ACC-02</t>
  </si>
  <si>
    <t>Insert account with invalid account_type 'Premium'</t>
  </si>
  <si>
    <t>START TRANSACTION;
INSERT INTO accounts (customer_id,account_type,balance) VALUES (1,'Premium',100.00);
ROLLBACK;</t>
  </si>
  <si>
    <t>Rejected - 1265: Data truncated for column 'account_type' at row 1</t>
  </si>
  <si>
    <t>TC-ACC-03</t>
  </si>
  <si>
    <t>Insert account with negative balance (-1)</t>
  </si>
  <si>
    <t>START TRANSACTION;
INSERT INTO accounts (customer_id,account_type,balance) VALUES (1,'Savings',-1);
ROLLBACK;</t>
  </si>
  <si>
    <t>Rejected - 3819: Check constraint 'accounts_chk_1' is violated.</t>
  </si>
  <si>
    <t>TC-ACC-04</t>
  </si>
  <si>
    <t>Insert account with explicit NULL balance</t>
  </si>
  <si>
    <t>START TRANSACTION;
INSERT INTO accounts (customer_id,account_type,balance) VALUES (1,'Savings',NULL);
ROLLBACK;</t>
  </si>
  <si>
    <t>Statement is rejected with an error (constraint / trigger)
Ref: BRD FR-2: balance is mandatory and must be &gt;= 0</t>
  </si>
  <si>
    <t>BUG-004</t>
  </si>
  <si>
    <t>TC-ACC-05</t>
  </si>
  <si>
    <t>Insert account omitting balance (default)</t>
  </si>
  <si>
    <t>START TRANSACTION;
INSERT INTO accounts (customer_id,account_type) VALUES (1,'Savings');
ROLLBACK;</t>
  </si>
  <si>
    <t>Statement is rejected with an error (constraint / trigger)
Ref: BRD FR-2: balance is mandatory</t>
  </si>
  <si>
    <t>TC-ACC-06</t>
  </si>
  <si>
    <t>Update Savings balance to negative (-0.01)</t>
  </si>
  <si>
    <t>START TRANSACTION;
UPDATE accounts SET balance=-0.01 WHERE account_number=1001;
ROLLBACK;</t>
  </si>
  <si>
    <t>TC-ACC-07</t>
  </si>
  <si>
    <t>Update balance to NULL</t>
  </si>
  <si>
    <t>START TRANSACTION;
UPDATE accounts SET balance=NULL WHERE account_number=1001;
ROLLBACK;</t>
  </si>
  <si>
    <t>TC-ACC-08</t>
  </si>
  <si>
    <t>Insert account for a non-existent customer (9999)</t>
  </si>
  <si>
    <t>START TRANSACTION;
INSERT INTO accounts (customer_id,account_type,balance) VALUES (9999,'Savings',100.00);
ROLLBACK;</t>
  </si>
  <si>
    <t>Rejected - 1452: Cannot add or update a child row: a foreign key constraint fails (`btms_db`.`accounts`, CO...</t>
  </si>
  <si>
    <t>TC-ACC-09</t>
  </si>
  <si>
    <t>Customer can own multiple accounts</t>
  </si>
  <si>
    <t>START TRANSACTION;
INSERT INTO accounts (customer_id,account_type,balance) VALUES (1,'Wallet',10.00);
SELECT COUNT(*) FROM accounts WHERE customer_id=1;
ROLLBACK;</t>
  </si>
  <si>
    <t>Statement is accepted; accounts of customer 1 = 3</t>
  </si>
  <si>
    <t>accounts of customer 1 = 3</t>
  </si>
  <si>
    <t>TC-ACC-10</t>
  </si>
  <si>
    <t>Insert account with duplicate account_number (1001)</t>
  </si>
  <si>
    <t>START TRANSACTION;
INSERT INTO accounts (account_number,customer_id,account_type,balance) VALUES (1001,1,'Savings',1);
ROLLBACK;</t>
  </si>
  <si>
    <t>Rejected - 1062: Duplicate entry '1001' for key 'accounts.PRIMARY'</t>
  </si>
  <si>
    <t>TC-ACC-11</t>
  </si>
  <si>
    <t>Balance above DECIMAL(15,2) range</t>
  </si>
  <si>
    <t>START TRANSACTION;
INSERT INTO accounts (customer_id,account_type,balance) VALUES (1,'Savings',10000000000000.00);
ROLLBACK;</t>
  </si>
  <si>
    <t>Rejected - 1264: Out of range value for column 'balance' at row 1</t>
  </si>
  <si>
    <t>TC-ACC-12</t>
  </si>
  <si>
    <t>Balance with 3 decimal places (100.999)</t>
  </si>
  <si>
    <t>START TRANSACTION;
INSERT INTO accounts (customer_id,account_type,balance) VALUES (1,'Savings',100.999);
ROLLBACK;</t>
  </si>
  <si>
    <t>Statement is rejected with an error (constraint / trigger)
Ref: Money values with sub-cent precision should be rejected, not silently rounded</t>
  </si>
  <si>
    <t>TC-ACC-13</t>
  </si>
  <si>
    <t>Insert Wallet account with zero balance (boundary)</t>
  </si>
  <si>
    <t>1. Open the MySQL client and run: USE btms_db;
2. Run: START TRANSACTION;
3. Run the test statement (see SQL column).
4. Run: ROLLBACK;  (keeps the baseline data clean for the next test)</t>
  </si>
  <si>
    <t>START TRANSACTION;
INSERT INTO accounts (customer_id,account_type,balance) VALUES (2,'Wallet',0.00);
ROLLBACK;</t>
  </si>
  <si>
    <t>Statement is accepted</t>
  </si>
  <si>
    <t>Statement accepted</t>
  </si>
  <si>
    <t>TC-ACC-14</t>
  </si>
  <si>
    <t>Update account owner to non-existent customer</t>
  </si>
  <si>
    <t>START TRANSACTION;
UPDATE accounts SET customer_id=9999 WHERE account_number=1001;
ROLLBACK;</t>
  </si>
  <si>
    <t>TC-ACC-15</t>
  </si>
  <si>
    <t>Update account_type to invalid value 'Gold'</t>
  </si>
  <si>
    <t>START TRANSACTION;
UPDATE accounts SET account_type='Gold' WHERE account_number=1001;
ROLLBACK;</t>
  </si>
  <si>
    <t>TC-TRX-01</t>
  </si>
  <si>
    <t>Deposit 500 must increase balance (5000 -&gt; 5500)</t>
  </si>
  <si>
    <t>Business Rule</t>
  </si>
  <si>
    <t>START TRANSACTION;
INSERT INTO transactions (sender_account,receiver_account,category_id,transaction_type,amount,transaction_status,transaction_date) VALUES (1001,NULL,NULL,'Deposit',500.00,'Success','2026-10-01');
SELECT balance FROM accounts WHERE account_number=1001;
ROLLBACK;</t>
  </si>
  <si>
    <t>balance of 1001 = 5500.00
Ref: BRD FR-3: transactions must update balances automatically</t>
  </si>
  <si>
    <t>balance of 1001 = 5000.00 (expected 5500.00)</t>
  </si>
  <si>
    <t>BUG-001</t>
  </si>
  <si>
    <t>TC-TRX-02</t>
  </si>
  <si>
    <t>Withdrawal 200 must decrease balance (5000 -&gt; 4800)</t>
  </si>
  <si>
    <t>START TRANSACTION;
INSERT INTO transactions (sender_account,receiver_account,category_id,transaction_type,amount,transaction_status,transaction_date) VALUES (1001,NULL,NULL,'Withdrawal',200.00,'Success','2026-10-01');
SELECT balance FROM accounts WHERE account_number=1001;
ROLLBACK;</t>
  </si>
  <si>
    <t>balance of 1001 = 4800.00</t>
  </si>
  <si>
    <t>balance of 1001 = 5000.00 (expected 4800.00)</t>
  </si>
  <si>
    <t>TC-TRX-03</t>
  </si>
  <si>
    <t>Transfer 1000 1001-&gt;1004 deducts and credits</t>
  </si>
  <si>
    <t>START TRANSACTION;
INSERT INTO transactions (sender_account,receiver_account,category_id,transaction_type,amount,transaction_status,transaction_date) VALUES (1001,1004,NULL,'Transfer',1000.00,'Success','2026-10-01');
SELECT CONCAT(a.balance,'|',b.balance) FROM accounts a, accounts b WHERE a.account_number=1001 AND b.account_number=1004;
ROLLBACK;</t>
  </si>
  <si>
    <t>balances 1001|1004 = 4000.00|11000.00</t>
  </si>
  <si>
    <t>balances 1001|1004 = 5000.00|10000.00 (expected 4000.00|11000.00)</t>
  </si>
  <si>
    <t>TC-TRX-04</t>
  </si>
  <si>
    <t>Bill Payment 300 must decrease balance (2000 -&gt; 1700)</t>
  </si>
  <si>
    <t>START TRANSACTION;
INSERT INTO transactions (sender_account,receiver_account,category_id,transaction_type,amount,transaction_status,transaction_date) VALUES (1002,NULL,1,'Bill Payment',300.00,'Success','2026-10-01');
SELECT balance FROM accounts WHERE account_number=1002;
ROLLBACK;</t>
  </si>
  <si>
    <t>balance of 1002 = 1700.00</t>
  </si>
  <si>
    <t>balance of 1002 = 2000.00 (expected 1700.00)</t>
  </si>
  <si>
    <t>TC-TRX-05</t>
  </si>
  <si>
    <t>Insert transaction with amount 0</t>
  </si>
  <si>
    <t>START TRANSACTION;
INSERT INTO transactions (sender_account,receiver_account,category_id,transaction_type,amount,transaction_status,transaction_date) VALUES (1001,NULL,NULL,'Deposit',0,'Success','2026-10-01');
ROLLBACK;</t>
  </si>
  <si>
    <t>Rejected - 3819: Check constraint 'transactions_chk_1' is violated.</t>
  </si>
  <si>
    <t>TC-TRX-06</t>
  </si>
  <si>
    <t>Insert transaction with negative amount (-50)</t>
  </si>
  <si>
    <t>START TRANSACTION;
INSERT INTO transactions (sender_account,receiver_account,category_id,transaction_type,amount,transaction_status,transaction_date) VALUES (1001,NULL,NULL,'Deposit',-50,'Success','2026-10-01');
ROLLBACK;</t>
  </si>
  <si>
    <t>TC-TRX-07</t>
  </si>
  <si>
    <t>Insert transaction with NULL amount</t>
  </si>
  <si>
    <t>START TRANSACTION;
INSERT INTO transactions (sender_account,receiver_account,category_id,transaction_type,amount,transaction_status,transaction_date) VALUES (1001,NULL,NULL,'Deposit',NULL,'Success','2026-10-01');
ROLLBACK;</t>
  </si>
  <si>
    <t>Statement is rejected with an error (constraint / trigger)
Ref: BRD FR-3: amount is mandatory and &gt; 0</t>
  </si>
  <si>
    <t>BUG-005</t>
  </si>
  <si>
    <t>TC-TRX-08</t>
  </si>
  <si>
    <t>Insert transaction with invalid type 'Refund'</t>
  </si>
  <si>
    <t>START TRANSACTION;
INSERT INTO transactions (sender_account,receiver_account,category_id,transaction_type,amount,transaction_status,transaction_date) VALUES (1001,NULL,NULL,'Refund',100.00,'Success','2026-10-01');
ROLLBACK;</t>
  </si>
  <si>
    <t>Rejected - 1265: Data truncated for column 'transaction_type' at row 1</t>
  </si>
  <si>
    <t>TC-TRX-09</t>
  </si>
  <si>
    <t>Sender account does not exist (9999)</t>
  </si>
  <si>
    <t>START TRANSACTION;
INSERT INTO transactions (sender_account,receiver_account,category_id,transaction_type,amount,transaction_status,transaction_date) VALUES (9999,NULL,NULL,'Deposit',100.00,'Success','2026-10-01');
ROLLBACK;</t>
  </si>
  <si>
    <t>Rejected - 1452: Cannot add or update a child row: a foreign key constraint fails (`btms_db`.`transactions`...</t>
  </si>
  <si>
    <t>TC-TRX-10</t>
  </si>
  <si>
    <t>Sender account NULL</t>
  </si>
  <si>
    <t>START TRANSACTION;
INSERT INTO transactions (sender_account,receiver_account,category_id,transaction_type,amount,transaction_status,transaction_date) VALUES (NULL,NULL,NULL,'Deposit',100.00,'Success','2026-10-01');
ROLLBACK;</t>
  </si>
  <si>
    <t>Rejected - 1048: Column 'sender_account' cannot be null</t>
  </si>
  <si>
    <t>TC-TRX-11</t>
  </si>
  <si>
    <t>Receiver account does not exist (9999)</t>
  </si>
  <si>
    <t>START TRANSACTION;
INSERT INTO transactions (sender_account,receiver_account,category_id,transaction_type,amount,transaction_status,transaction_date) VALUES (1001,9999,NULL,'Transfer',10,'Success','2026-10-01');
ROLLBACK;</t>
  </si>
  <si>
    <t>TC-TRX-12</t>
  </si>
  <si>
    <t>transaction_date NULL</t>
  </si>
  <si>
    <t>START TRANSACTION;
INSERT INTO transactions (sender_account,receiver_account,category_id,transaction_type,amount,transaction_status,transaction_date) VALUES (1001,NULL,NULL,'Deposit',100.00,'Success',NULL);
ROLLBACK;</t>
  </si>
  <si>
    <t>Rejected - 1048: Column 'transaction_date' cannot be null</t>
  </si>
  <si>
    <t>TC-TRX-13</t>
  </si>
  <si>
    <t>Invalid transaction_status 'Done'</t>
  </si>
  <si>
    <t>START TRANSACTION;
INSERT INTO transactions (sender_account,receiver_account,category_id,transaction_type,amount,transaction_status,transaction_date) VALUES (1001,NULL,NULL,'Deposit',100.00,'Done','2026-10-01');
ROLLBACK;</t>
  </si>
  <si>
    <t>Rejected - 1265: Data truncated for column 'transaction_status' at row 1</t>
  </si>
  <si>
    <t>TC-TRX-14</t>
  </si>
  <si>
    <t>Default status is 'Pending' when omitted</t>
  </si>
  <si>
    <t>START TRANSACTION;
INSERT INTO transactions (sender_account,transaction_type,amount,transaction_date) VALUES (1001,'Deposit',10,'2026-10-01');
SELECT transaction_status FROM transactions WHERE transaction_id=(SELECT MAX(transaction_id) FROM transactions);
ROLLBACK;</t>
  </si>
  <si>
    <t>status = Pending</t>
  </si>
  <si>
    <t>TC-TRX-15</t>
  </si>
  <si>
    <t>Withdrawal exceeding balance (5000 from 2000)</t>
  </si>
  <si>
    <t>START TRANSACTION;
INSERT INTO transactions (sender_account,receiver_account,category_id,transaction_type,amount,transaction_status,transaction_date) VALUES (1002,NULL,NULL,'Withdrawal',5000.00,'Success','2026-10-01');
ROLLBACK;</t>
  </si>
  <si>
    <t>Statement is rejected with an error (constraint / trigger)
Ref: BRD FR-3: cannot withdraw more than available balance</t>
  </si>
  <si>
    <t>BUG-002</t>
  </si>
  <si>
    <t>TC-TRX-16</t>
  </si>
  <si>
    <t>Transfer exceeding balance (100 from account with 0)</t>
  </si>
  <si>
    <t>START TRANSACTION;
INSERT INTO transactions (sender_account,receiver_account,category_id,transaction_type,amount,transaction_status,transaction_date) VALUES (1005,1001,NULL,'Transfer',100.00,'Success','2026-10-01');
ROLLBACK;</t>
  </si>
  <si>
    <t>Statement is rejected with an error (constraint / trigger)
Ref: BRD FR-3: cannot transfer more than available balance</t>
  </si>
  <si>
    <t>TC-TRX-17</t>
  </si>
  <si>
    <t>Transfer with NULL receiver</t>
  </si>
  <si>
    <t>START TRANSACTION;
INSERT INTO transactions (sender_account,receiver_account,category_id,transaction_type,amount,transaction_status,transaction_date) VALUES (1001,NULL,NULL,'Transfer',100.00,'Success','2026-10-01');
ROLLBACK;</t>
  </si>
  <si>
    <t>Statement is rejected with an error (constraint / trigger)
Ref: BRD FR-3: receiver is nullable ONLY for withdrawals/deposits</t>
  </si>
  <si>
    <t>BUG-009</t>
  </si>
  <si>
    <t>TC-TRX-18</t>
  </si>
  <si>
    <t>Transfer from an account to itself (1001 -&gt; 1001)</t>
  </si>
  <si>
    <t>START TRANSACTION;
INSERT INTO transactions (sender_account,receiver_account,category_id,transaction_type,amount,transaction_status,transaction_date) VALUES (1001,1001,NULL,'Transfer',100.00,'Success','2026-10-01');
ROLLBACK;</t>
  </si>
  <si>
    <t>BUG-011</t>
  </si>
  <si>
    <t>TC-TRX-19</t>
  </si>
  <si>
    <t>Failed withdrawal must not change balance</t>
  </si>
  <si>
    <t>START TRANSACTION;
INSERT INTO transactions (sender_account,receiver_account,category_id,transaction_type,amount,transaction_status,transaction_date) VALUES (1001,NULL,NULL,'Withdrawal',100.00,'Failed','2026-10-01');
SELECT balance FROM accounts WHERE account_number=1001;
ROLLBACK;</t>
  </si>
  <si>
    <t>balance of 1001 = 5000.00
Ref: Passes trivially while no balance trigger exists - re-run once triggers are fixed</t>
  </si>
  <si>
    <t>balance of 1001 = 5000.00</t>
  </si>
  <si>
    <t>TC-TRX-20</t>
  </si>
  <si>
    <t>Failed transfer must not change either balance</t>
  </si>
  <si>
    <t>START TRANSACTION;
INSERT INTO transactions (sender_account,receiver_account,category_id,transaction_type,amount,transaction_status,transaction_date) VALUES (1001,1004,NULL,'Transfer',100.00,'Failed','2026-10-01');
SELECT CONCAT(a.balance,'|',b.balance) FROM accounts a, accounts b WHERE a.account_number=1001 AND b.account_number=1004;
ROLLBACK;</t>
  </si>
  <si>
    <t>balances 1001|1004 = 5000.00|10000.00</t>
  </si>
  <si>
    <t>TC-TRX-21</t>
  </si>
  <si>
    <t>Update amount of a completed (Success) transaction</t>
  </si>
  <si>
    <t>START TRANSACTION;
UPDATE transactions SET amount=999.00 WHERE transaction_id=1;
ROLLBACK;</t>
  </si>
  <si>
    <t>Statement is rejected with an error (constraint / trigger)
Ref: Financial records must be immutable or reconcile the balance</t>
  </si>
  <si>
    <t>BUG-013</t>
  </si>
  <si>
    <t>TC-TRX-22</t>
  </si>
  <si>
    <t>Pending -&gt; Success must apply the balance change</t>
  </si>
  <si>
    <t>Database btms_db created from the 'DB Scripts' sheet; baseline seed data loaded (see 'DB Seed Data').
Extra setup: INSERT INTO transactions (transaction_id,sender_account,receiver_account,category_id,transaction_type,amount,transaction_status,transaction_date) VALUES (100,1001,NULL,NULL,'Withdrawal',100.00,'Pending','2026-10-01')</t>
  </si>
  <si>
    <t>1. Open the MySQL client and run: USE btms_db;
2. Run: START TRANSACTION;
3. Run the setup statement (see SQL column).
4. Run the test statement (see SQL column).
5. Run the verification SELECT (see SQL column) and note the result.
6. Run: ROLLBACK;  (keeps the baseline data clean for the next test)</t>
  </si>
  <si>
    <t>START TRANSACTION;
INSERT INTO transactions (transaction_id,sender_account,receiver_account,category_id,transaction_type,amount,transaction_status,transaction_date) VALUES (100,1001,NULL,NULL,'Withdrawal',100.00,'Pending','2026-10-01');
UPDATE transactions SET transaction_status='Success' WHERE transaction_id=100;
SELECT balance FROM accounts WHERE account_number=1001;
ROLLBACK;</t>
  </si>
  <si>
    <t>balance of 1001 = 4900.00</t>
  </si>
  <si>
    <t>balance of 1001 = 5000.00 (expected 4900.00)</t>
  </si>
  <si>
    <t>TC-TRX-23</t>
  </si>
  <si>
    <t>Update amount to negative</t>
  </si>
  <si>
    <t>START TRANSACTION;
UPDATE transactions SET amount=-5 WHERE transaction_id=1;
ROLLBACK;</t>
  </si>
  <si>
    <t>TC-TRX-24</t>
  </si>
  <si>
    <t>Update transaction_type to invalid value</t>
  </si>
  <si>
    <t>START TRANSACTION;
UPDATE transactions SET transaction_type='Wire' WHERE transaction_id=1;
ROLLBACK;</t>
  </si>
  <si>
    <t>TC-TRX-25</t>
  </si>
  <si>
    <t>Update receiver to non-existent account</t>
  </si>
  <si>
    <t>START TRANSACTION;
UPDATE transactions SET receiver_account=9999 WHERE transaction_id=1;
ROLLBACK;</t>
  </si>
  <si>
    <t>TC-TRX-26</t>
  </si>
  <si>
    <t>Update sender to non-existent account</t>
  </si>
  <si>
    <t>START TRANSACTION;
UPDATE transactions SET sender_account=9999 WHERE transaction_id=1;
ROLLBACK;</t>
  </si>
  <si>
    <t>TC-TRX-27</t>
  </si>
  <si>
    <t>Transfer above the daily transfer limit (4,000,000)</t>
  </si>
  <si>
    <t>Database btms_db created from the 'DB Scripts' sheet; baseline seed data loaded (see 'DB Seed Data').
Extra setup: UPDATE accounts SET balance=5000000.00 WHERE account_number=1004</t>
  </si>
  <si>
    <t>1. Open the MySQL client and run: USE btms_db;
2. Run: START TRANSACTION;
3. Run the setup statement (see SQL column).
4. Run the test statement (see SQL column).
5. Note whether the statement is rejected with an error.
6. Run: ROLLBACK;  (keeps the baseline data clean for the next test)</t>
  </si>
  <si>
    <t>START TRANSACTION;
UPDATE accounts SET balance=5000000.00 WHERE account_number=1004;
INSERT INTO transactions (sender_account,receiver_account,category_id,transaction_type,amount,transaction_status,transaction_date) VALUES (1004,1001,NULL,'Transfer',4000000.00,'Success','2026-10-01');
ROLLBACK;</t>
  </si>
  <si>
    <t>Statement is rejected with an error (constraint / trigger)
Ref: BRD FR-3: daily limits enforced via triggers. Limit value undefined in BRD (assumption A-01: limit &lt; 4,000,000)</t>
  </si>
  <si>
    <t>BUG-010</t>
  </si>
  <si>
    <t>TC-TRX-28</t>
  </si>
  <si>
    <t>Amount above DECIMAL(15,2) range</t>
  </si>
  <si>
    <t>START TRANSACTION;
INSERT INTO transactions (sender_account,receiver_account,category_id,transaction_type,amount,transaction_status,transaction_date) VALUES (1001,NULL,NULL,'Deposit',10000000000000.00,'Success','2026-10-01');
ROLLBACK;</t>
  </si>
  <si>
    <t>Rejected - 1264: Out of range value for column 'amount' at row 1</t>
  </si>
  <si>
    <t>TC-TRX-29</t>
  </si>
  <si>
    <t>Transaction without category (optional field)</t>
  </si>
  <si>
    <t>START TRANSACTION;
INSERT INTO transactions (sender_account,receiver_account,category_id,transaction_type,amount,transaction_status,transaction_date) VALUES (1001,NULL,NULL,'Deposit',100.00,'Success','2026-10-01');
ROLLBACK;</t>
  </si>
  <si>
    <t>TC-CAT-01</t>
  </si>
  <si>
    <t>Insert a valid new category</t>
  </si>
  <si>
    <t>START TRANSACTION;
INSERT INTO transaction_categories (category_name) VALUES ('Travel');
ROLLBACK;</t>
  </si>
  <si>
    <t>TC-CAT-02</t>
  </si>
  <si>
    <t>Insert duplicate category name 'Utilities'</t>
  </si>
  <si>
    <t>START TRANSACTION;
INSERT INTO transaction_categories (category_name) VALUES ('Utilities');
ROLLBACK;</t>
  </si>
  <si>
    <t>Rejected - 1062: Duplicate entry 'Utilities' for key 'transaction_categories.category_name'</t>
  </si>
  <si>
    <t>TC-CAT-03</t>
  </si>
  <si>
    <t>Insert category with NULL name</t>
  </si>
  <si>
    <t>START TRANSACTION;
INSERT INTO transaction_categories (category_name) VALUES (NULL);
ROLLBACK;</t>
  </si>
  <si>
    <t>Rejected - 1048: Column 'category_name' cannot be null</t>
  </si>
  <si>
    <t>TC-CAT-04</t>
  </si>
  <si>
    <t>Insert category with empty name</t>
  </si>
  <si>
    <t>START TRANSACTION;
INSERT INTO transaction_categories (category_name) VALUES ('');
ROLLBACK;</t>
  </si>
  <si>
    <t>TC-CAT-05</t>
  </si>
  <si>
    <t>Assign transaction to non-existent category (99)</t>
  </si>
  <si>
    <t>START TRANSACTION;
INSERT INTO transactions (sender_account,receiver_account,category_id,transaction_type,amount,transaction_status,transaction_date) VALUES (1001,NULL,99,'Deposit',100.00,'Success','2026-10-01');
ROLLBACK;</t>
  </si>
  <si>
    <t>TC-CAT-06</t>
  </si>
  <si>
    <t>Rename category to an existing name</t>
  </si>
  <si>
    <t>START TRANSACTION;
UPDATE transaction_categories SET category_name='Utilities' WHERE category_id=2;
ROLLBACK;</t>
  </si>
  <si>
    <t>TC-CAT-07</t>
  </si>
  <si>
    <t>Category rename is reflected for linked transactions</t>
  </si>
  <si>
    <t>START TRANSACTION;
UPDATE transaction_categories SET category_name='Misc' WHERE category_id=1;
SELECT c.category_name FROM transactions t JOIN transaction_categories c USING(category_id) WHERE t.transaction_id=2;
ROLLBACK;</t>
  </si>
  <si>
    <t>category name seen via transaction 2 = Misc</t>
  </si>
  <si>
    <t>TC-CAT-08</t>
  </si>
  <si>
    <t>Update transaction category to non-existent id</t>
  </si>
  <si>
    <t>START TRANSACTION;
UPDATE transactions SET category_id=77 WHERE transaction_id=2;
ROLLBACK;</t>
  </si>
  <si>
    <t>TC-CAT-09</t>
  </si>
  <si>
    <t>Category name longer than 50 characters</t>
  </si>
  <si>
    <t>START TRANSACTION;
INSERT INTO transaction_categories (category_name) VALUES ('CCCCCCCCCCCCCCCCCCCCCCCCCCCCCCCCCCCCCCCCCCCCCCCCCCC');
ROLLBACK;</t>
  </si>
  <si>
    <t>Rejected - 1406: Data too long for column 'category_name' at row 1</t>
  </si>
  <si>
    <t>TC-FEE-01</t>
  </si>
  <si>
    <t>Insert valid Transfer Fee (5 on a 100 transfer)</t>
  </si>
  <si>
    <t>START TRANSACTION;
INSERT INTO fees (transaction_id,fee_type,amount) VALUES (1,'Transfer Fee',5.00);
ROLLBACK;</t>
  </si>
  <si>
    <t>TC-FEE-02</t>
  </si>
  <si>
    <t>Fee amount 0</t>
  </si>
  <si>
    <t>START TRANSACTION;
INSERT INTO fees (transaction_id,fee_type,amount) VALUES (1,'Transfer Fee',0);
ROLLBACK;</t>
  </si>
  <si>
    <t>Rejected - 3819: Check constraint 'fees_chk_1' is violated.</t>
  </si>
  <si>
    <t>TC-FEE-03</t>
  </si>
  <si>
    <t>Fee amount negative</t>
  </si>
  <si>
    <t>START TRANSACTION;
INSERT INTO fees (transaction_id,fee_type,amount) VALUES (1,'Transfer Fee',-1);
ROLLBACK;</t>
  </si>
  <si>
    <t>TC-FEE-04</t>
  </si>
  <si>
    <t>Fee amount NULL</t>
  </si>
  <si>
    <t>START TRANSACTION;
INSERT INTO fees (transaction_id,fee_type,amount) VALUES (1,'Transfer Fee',NULL);
ROLLBACK;</t>
  </si>
  <si>
    <t>Statement is rejected with an error (constraint / trigger)
Ref: BRD FR-5: amount is mandatory</t>
  </si>
  <si>
    <t>BUG-006</t>
  </si>
  <si>
    <t>TC-FEE-05</t>
  </si>
  <si>
    <t>Fee (50) exceeding 10% of transaction amount (100)</t>
  </si>
  <si>
    <t>START TRANSACTION;
INSERT INTO fees (transaction_id,fee_type,amount) VALUES (1,'Transfer Fee',50.00);
ROLLBACK;</t>
  </si>
  <si>
    <t>Statement is rejected with an error (constraint / trigger)
Ref: BRD FR-5: fee cannot exceed 10% of transaction amount</t>
  </si>
  <si>
    <t>BUG-008</t>
  </si>
  <si>
    <t>TC-FEE-06</t>
  </si>
  <si>
    <t>Fee exactly 10% of transaction amount (boundary)</t>
  </si>
  <si>
    <t>START TRANSACTION;
INSERT INTO fees (transaction_id,fee_type,amount) VALUES (1,'Transfer Fee',10.00);
ROLLBACK;</t>
  </si>
  <si>
    <t>TC-FEE-07</t>
  </si>
  <si>
    <t>Invalid fee_type 'Admin Fee'</t>
  </si>
  <si>
    <t>START TRANSACTION;
INSERT INTO fees (transaction_id,fee_type,amount) VALUES (1,'Admin Fee',1.00);
ROLLBACK;</t>
  </si>
  <si>
    <t>Rejected - 1265: Data truncated for column 'fee_type' at row 1</t>
  </si>
  <si>
    <t>TC-FEE-08</t>
  </si>
  <si>
    <t>Fee for non-existent transaction (9999)</t>
  </si>
  <si>
    <t>START TRANSACTION;
INSERT INTO fees (transaction_id,fee_type,amount) VALUES (9999,'Transfer Fee',1.00);
ROLLBACK;</t>
  </si>
  <si>
    <t>Rejected - 1452: Cannot add or update a child row: a foreign key constraint fails (`btms_db`.`fees`, CONSTR...</t>
  </si>
  <si>
    <t>TC-FEE-09</t>
  </si>
  <si>
    <t>Second 'Failed Transaction Fee' for same failed attempt</t>
  </si>
  <si>
    <t>START TRANSACTION;
INSERT INTO fees (transaction_id,fee_type,amount) VALUES (3,'Failed Transaction Fee',1.00);
ROLLBACK;</t>
  </si>
  <si>
    <t>Statement is rejected with an error (constraint / trigger)
Ref: BRD FR-5: applied only once per failed attempt (tx 3 already has one)</t>
  </si>
  <si>
    <t>BUG-012</t>
  </si>
  <si>
    <t>TC-FEE-10</t>
  </si>
  <si>
    <t>'Failed Transaction Fee' on a Success transaction</t>
  </si>
  <si>
    <t>START TRANSACTION;
INSERT INTO fees (transaction_id,fee_type,amount) VALUES (1,'Failed Transaction Fee',1.00);
ROLLBACK;</t>
  </si>
  <si>
    <t>TC-FEE-11</t>
  </si>
  <si>
    <t>'Transfer Fee' on a Bill Payment transaction</t>
  </si>
  <si>
    <t>START TRANSACTION;
INSERT INTO fees (transaction_id,fee_type,amount) VALUES (2,'Transfer Fee',1.00);
ROLLBACK;</t>
  </si>
  <si>
    <t>Statement is rejected with an error (constraint / trigger)
Ref: BRD FR-5: transfer fee applies to transfers</t>
  </si>
  <si>
    <t>TC-FEE-12</t>
  </si>
  <si>
    <t>Fee auto-created for a successful Transfer</t>
  </si>
  <si>
    <t>START TRANSACTION;
INSERT INTO transactions (sender_account,receiver_account,category_id,transaction_type,amount,transaction_status,transaction_date) VALUES (1001,1004,NULL,'Transfer',100.00,'Success','2026-10-01');
SELECT COUNT(*) FROM fees WHERE transaction_id=(SELECT MAX(transaction_id) FROM transactions);
ROLLBACK;</t>
  </si>
  <si>
    <t>fees generated for new transfer = 1
Ref: BRD FR-5 / NFR: fees applied automatically via trigger</t>
  </si>
  <si>
    <t>fees generated for new transfer = 0 (expected 1)</t>
  </si>
  <si>
    <t>BUG-003</t>
  </si>
  <si>
    <t>TC-FEE-13</t>
  </si>
  <si>
    <t>Failed Transaction Fee auto-created for a failed attempt</t>
  </si>
  <si>
    <t>START TRANSACTION;
INSERT INTO transactions (sender_account,receiver_account,category_id,transaction_type,amount,transaction_status,transaction_date) VALUES (1001,NULL,NULL,'Withdrawal',100.00,'Failed','2026-10-01');
SELECT COUNT(*) FROM fees WHERE transaction_id=(SELECT MAX(transaction_id) FROM transactions);
ROLLBACK;</t>
  </si>
  <si>
    <t>fees generated for failed attempt = 1</t>
  </si>
  <si>
    <t>fees generated for failed attempt = 0 (expected 1)</t>
  </si>
  <si>
    <t>TC-FEE-14</t>
  </si>
  <si>
    <t>UPDATE fee to 60 on a 100 transaction (&gt;10%)</t>
  </si>
  <si>
    <t>START TRANSACTION;
UPDATE fees SET amount=60.00 WHERE fee_id=1;
ROLLBACK;</t>
  </si>
  <si>
    <t>TC-FEE-15</t>
  </si>
  <si>
    <t>UPDATE fee amount to 0</t>
  </si>
  <si>
    <t>START TRANSACTION;
UPDATE fees SET amount=0 WHERE fee_id=1;
ROLLBACK;</t>
  </si>
  <si>
    <t>TC-BRN-01</t>
  </si>
  <si>
    <t>Insert valid branch</t>
  </si>
  <si>
    <t>START TRANSACTION;
INSERT INTO branches (name,location) VALUES ('Giza Branch','Giza');
ROLLBACK;</t>
  </si>
  <si>
    <t>TC-BRN-02</t>
  </si>
  <si>
    <t>Insert branch with NULL name</t>
  </si>
  <si>
    <t>START TRANSACTION;
INSERT INTO branches (name,location) VALUES (NULL,'Giza');
ROLLBACK;</t>
  </si>
  <si>
    <t>Rejected - 1048: Column 'name' cannot be null</t>
  </si>
  <si>
    <t>TC-BRN-03</t>
  </si>
  <si>
    <t>Insert branch with NULL location</t>
  </si>
  <si>
    <t>START TRANSACTION;
INSERT INTO branches (name,location) VALUES ('Tanta Branch',NULL);
ROLLBACK;</t>
  </si>
  <si>
    <t>Statement is rejected with an error (constraint / trigger)
Ref: BRD FR-6: location is a mandatory branch field</t>
  </si>
  <si>
    <t>BUG-014</t>
  </si>
  <si>
    <t>TC-EMP-01</t>
  </si>
  <si>
    <t>Insert valid employee linked to branch 1</t>
  </si>
  <si>
    <t>START TRANSACTION;
INSERT INTO employees (full_name,branch_id) VALUES ('Karim Samir',1);
ROLLBACK;</t>
  </si>
  <si>
    <t>TC-EMP-02</t>
  </si>
  <si>
    <t>Employee linked to non-existent branch (9999)</t>
  </si>
  <si>
    <t>START TRANSACTION;
INSERT INTO employees (full_name,branch_id) VALUES ('Karim Samir',9999);
ROLLBACK;</t>
  </si>
  <si>
    <t>Rejected - 1452: Cannot add or update a child row: a foreign key constraint fails (`btms_db`.`employees`, C...</t>
  </si>
  <si>
    <t>TC-EMP-03</t>
  </si>
  <si>
    <t>Employee with NULL branch_id</t>
  </si>
  <si>
    <t>START TRANSACTION;
INSERT INTO employees (full_name,branch_id) VALUES ('Karim Samir',NULL);
ROLLBACK;</t>
  </si>
  <si>
    <t>Rejected - 1048: Column 'branch_id' cannot be null</t>
  </si>
  <si>
    <t>TC-EMP-04</t>
  </si>
  <si>
    <t>Employee with NULL full_name</t>
  </si>
  <si>
    <t>START TRANSACTION;
INSERT INTO employees (full_name,branch_id) VALUES (NULL,1);
ROLLBACK;</t>
  </si>
  <si>
    <t>TC-EMP-05</t>
  </si>
  <si>
    <t>Update employee branch to non-existent branch</t>
  </si>
  <si>
    <t>START TRANSACTION;
UPDATE employees SET branch_id=9999 WHERE employee_id=1;
ROLLBACK;</t>
  </si>
  <si>
    <t>TC-BRN-04</t>
  </si>
  <si>
    <t>Update branch name to NULL</t>
  </si>
  <si>
    <t>START TRANSACTION;
UPDATE branches SET name=NULL WHERE branch_id=1;
ROLLBACK;</t>
  </si>
  <si>
    <t>TC-EMP-06</t>
  </si>
  <si>
    <t>Employee responsible for approvals cannot be deleted</t>
  </si>
  <si>
    <t>1. Review the schema in 'DB Schema' for any column or table linking Employees to transaction approvals.
2. Record that the rule cannot be designed.</t>
  </si>
  <si>
    <t>-- No executable SQL: schema gap (see BUG-017). DELETE is also outside the INSERT/UPDATE scope.</t>
  </si>
  <si>
    <t>Cannot be designed: no column/table links an employee to a transaction approval (BRD FR-6 rule). Also DELETE is outside the INSERT/UPDATE test scope.</t>
  </si>
  <si>
    <t>BUG-017</t>
  </si>
  <si>
    <t>TC-NFR-01</t>
  </si>
  <si>
    <t>PK auto-increment generates an id on insert</t>
  </si>
  <si>
    <t>START TRANSACTION;
INSERT INTO customers (full_name,date_of_birth,email,phone) VALUES ('Abdallah Meaad','1992-01-01','test.user@example.com','01022656255');
SELECT LAST_INSERT_ID()&gt;0;
ROLLBACK;</t>
  </si>
  <si>
    <t>generated id &gt; 0 = 1</t>
  </si>
  <si>
    <t>TC-NFR-02</t>
  </si>
  <si>
    <t>All 7 tables use an AUTO_INCREMENT primary key</t>
  </si>
  <si>
    <t>Structural</t>
  </si>
  <si>
    <t>START TRANSACTION;
SELECT 1;
SELECT COUNT(*) FROM information_schema.columns WHERE table_schema=DATABASE() AND extra LIKE '%auto_increment%';
ROLLBACK;</t>
  </si>
  <si>
    <t>auto_increment columns = 7</t>
  </si>
  <si>
    <t>TC-NFR-03</t>
  </si>
  <si>
    <t>At least 6 FK relationships are enforced</t>
  </si>
  <si>
    <t>START TRANSACTION;
SELECT 1;
SELECT COUNT(*)&gt;=6 FROM information_schema.referential_constraints WHERE constraint_schema=DATABASE();
ROLLBACK;</t>
  </si>
  <si>
    <t>foreign key count &gt;= 6 = 1</t>
  </si>
  <si>
    <t>TC-NFR-04</t>
  </si>
  <si>
    <t>INSERT completes within 2 seconds</t>
  </si>
  <si>
    <t>Performance</t>
  </si>
  <si>
    <t>START TRANSACTION;
INSERT INTO customers (full_name,date_of_birth,email,phone) VALUES ('Abdallah Meaad','1992-01-01','test.user@example.com','01022656255');
ROLLBACK;</t>
  </si>
  <si>
    <t>Statement completes in &lt;= 2.0 s</t>
  </si>
  <si>
    <t>Completed in 0.2 ms</t>
  </si>
  <si>
    <t>TC-NFR-05</t>
  </si>
  <si>
    <t>Triggers for balances/fees exist (BRD: 2 triggers)</t>
  </si>
  <si>
    <t>START TRANSACTION;
SELECT 1;
SELECT COUNT(*)&gt;=2 FROM information_schema.triggers WHERE trigger_schema=DATABASE();
ROLLBACK;</t>
  </si>
  <si>
    <t>trigger count &gt;= 2 = 1</t>
  </si>
  <si>
    <t>trigger count &gt;= 2 = 0 (expected 1)</t>
  </si>
  <si>
    <t>BUG-001, BUG-003</t>
  </si>
  <si>
    <t>TC-NFR-06</t>
  </si>
  <si>
    <t>Object names follow snake_case (tables)</t>
  </si>
  <si>
    <t>START TRANSACTION;
SELECT 1;
SELECT COUNT(*) FROM information_schema.tables WHERE table_schema=DATABASE() AND BINARY table_name&lt;&gt;BINARY LOWER(table_name);
ROLLBACK;</t>
  </si>
  <si>
    <t>tables not in snake_case = 0</t>
  </si>
  <si>
    <t>BTMS - Bug Reports</t>
  </si>
  <si>
    <t>Reported by Abdallah Ahmed Meaad  |  Reproduce on the baseline seed data  |  Environment: MySQL 8.0.46 - real btms_db (btms-db.sql)</t>
  </si>
  <si>
    <t>Title</t>
  </si>
  <si>
    <t>BRD Ref</t>
  </si>
  <si>
    <t>Related Test Cases</t>
  </si>
  <si>
    <t>Description</t>
  </si>
  <si>
    <t>Steps to Reproduce (SQL)</t>
  </si>
  <si>
    <t>Impact</t>
  </si>
  <si>
    <t>Suggested Fix</t>
  </si>
  <si>
    <t>Reported By</t>
  </si>
  <si>
    <t>Date</t>
  </si>
  <si>
    <t>Balances are never updated by Deposit / Withdrawal / Transfer / Bill Payment (balance triggers missing)</t>
  </si>
  <si>
    <t>P1</t>
  </si>
  <si>
    <t>FR-2, FR-3, Sec.4, Sec.7</t>
  </si>
  <si>
    <t>TC-TRX-01, TC-TRX-02, TC-TRX-03, TC-TRX-04, TC-TRX-22, TC-NFR-05</t>
  </si>
  <si>
    <t>The BRD requires balances to update automatically through triggers (Sec.4 and Sec.9 state 2 triggers). The delivered DDL contains no triggers at all, so transactions are stored but never reflected in Accounts.balance. A Pending-&gt;Success status update also does not move money.</t>
  </si>
  <si>
    <t>START TRANSACTION;
SELECT balance FROM accounts WHERE account_number = 1001;          -- 5000.00
INSERT INTO transactions (sender_account,transaction_type,amount,transaction_status,transaction_date)
VALUES (1001,'Deposit',500.00,'Success','2026-10-01');
SELECT balance FROM accounts WHERE account_number = 1001;          -- still 5000.00
SELECT COUNT(*) FROM information_schema.triggers WHERE trigger_schema='btms_db';   -- 0
ROLLBACK;</t>
  </si>
  <si>
    <t>Balance becomes 5500.00 (Withdrawal/Bill Payment decrease it, Transfer moves money between both accounts). At least 2 triggers exist.</t>
  </si>
  <si>
    <t>TC-TRX-01: balance of 1001 = 5000.00 (expected 5500.00)
TC-TRX-02: balance of 1001 = 5000.00 (expected 4800.00)
TC-TRX-03: balances 1001|1004 = 5000.00|10000.00 (expected 4000.00|11000.00)
TC-TRX-04: balance of 1002 = 2000.00 (expected 1700.00)
TC-TRX-22: balance of 1001 = 5000.00 (expected 4900.00)
TC-NFR-05: trigger count &gt;= 2 = 0 (expected 1)</t>
  </si>
  <si>
    <t>Ledger and balances diverge immediately. Every money-movement rule of the system is unusable. Release blocker.</t>
  </si>
  <si>
    <t>Add AFTER INSERT and AFTER UPDATE triggers on transactions that apply the movement when status = 'Success'</t>
  </si>
  <si>
    <t>Open</t>
  </si>
  <si>
    <t>Withdrawal / Transfer / Bill Payment above the available balance is accepted as 'Success'</t>
  </si>
  <si>
    <t>FR-3, Sec.7</t>
  </si>
  <si>
    <t>TC-TRX-15, TC-TRX-16</t>
  </si>
  <si>
    <t>BRD: 'Cannot transfer or withdraw more than available balance'. The database accepts a Success withdrawal of 5000 from an account holding 2000, and a transfer from an account holding 0. No validation exists at row level. After BUG-001 is fixed, CHECK(balance &gt;= 0) would only fail with a generic error, so an explicit rule is still required.</t>
  </si>
  <si>
    <t>START TRANSACTION;
INSERT INTO transactions (sender_account,transaction_type,amount,transaction_status,transaction_date)
VALUES (1002,'Withdrawal',5000.00,'Success','2026-10-01');       -- balance of 1002 is 2000.00
SELECT transaction_status, amount FROM transactions ORDER BY transaction_id DESC LIMIT 1;  -- Success, 5000.00
ROLLBACK;</t>
  </si>
  <si>
    <t>Insert is rejected with an 'Insufficient balance' error; no Success row is stored.</t>
  </si>
  <si>
    <t>TC-TRX-15: ACCEPTED - no error raised; rule is not enforced by the database
TC-TRX-16: ACCEPTED - no error raised; rule is not enforced by the database</t>
  </si>
  <si>
    <t>Overdraft / fraud exposure; financial loss; audit failure.</t>
  </si>
  <si>
    <t>BEFORE INSERT (and BEFORE UPDATE Pending-&gt;Success) trigger comparing the sender balance with the amount (trg_transactions_bi / trg_transactions_bu).</t>
  </si>
  <si>
    <t>Fees are not calculated automatically for transfers or failed transactions</t>
  </si>
  <si>
    <t>FR-5, Sec.4, Sec.7</t>
  </si>
  <si>
    <t>TC-FEE-12, TC-FEE-13, TC-NFR-05</t>
  </si>
  <si>
    <t>BRD FR-5: 'Auto-calculate fees for transfers and failed transactions' via triggers. Inserting a successful transfer or a failed attempt creates no Fees row.</t>
  </si>
  <si>
    <t>START TRANSACTION;
INSERT INTO transactions (sender_account,receiver_account,transaction_type,amount,transaction_status,transaction_date)
VALUES (1001,1004,'Transfer',100.00,'Success','2026-10-01');
SELECT COUNT(*) FROM fees WHERE transaction_id = (SELECT MAX(transaction_id) FROM transactions);   -- 0
ROLLBACK;</t>
  </si>
  <si>
    <t>One 'Transfer Fee' row is generated for the transfer; one 'Failed Transaction Fee' row for a failed attempt.</t>
  </si>
  <si>
    <t>TC-FEE-12: fees generated for new transfer = 0 (expected 1)
TC-FEE-13: fees generated for failed attempt = 0 (expected 1)
TC-NFR-05: trigger count &gt;= 2 = 0 (expected 1)</t>
  </si>
  <si>
    <t>Bank revenue is lost; fee reporting is incomplete.</t>
  </si>
  <si>
    <t>AFTER INSERT trigger on transactions inserting the fee row (trg_transactions_ai). The fee rate and the definition of 'external' are undefined in the BRD - see Requirements_Review R-02/R-03.</t>
  </si>
  <si>
    <t>Accounts.balance accepts NULL (insert, omitted value and update)</t>
  </si>
  <si>
    <t>P2</t>
  </si>
  <si>
    <t>FR-2</t>
  </si>
  <si>
    <t>TC-ACC-04, TC-ACC-05, TC-ACC-07</t>
  </si>
  <si>
    <t>balance is declared 'DECIMAL(15,2) CHECK(balance &gt;= 0)' without NOT NULL. For NULL the CHECK evaluates to UNKNOWN, which SQL treats as satisfied, so the 'mandatory, &gt;= 0' rule of FR-2 is bypassed.</t>
  </si>
  <si>
    <t>START TRANSACTION;
INSERT INTO accounts (customer_id,account_type,balance) VALUES (1,'Savings',NULL);
INSERT INTO accounts (customer_id,account_type) VALUES (1,'Savings');
UPDATE accounts SET balance = NULL WHERE account_number = 1001;
SELECT account_number, balance FROM accounts WHERE balance IS NULL;
ROLLBACK;</t>
  </si>
  <si>
    <t>All three statements are rejected.</t>
  </si>
  <si>
    <t>TC-ACC-04: ACCEPTED - no error raised; rule is not enforced by the database
TC-ACC-05: ACCEPTED - no error raised; rule is not enforced by the database
TC-ACC-07: ACCEPTED - no error raised; rule is not enforced by the database</t>
  </si>
  <si>
    <t>NULL balances break arithmetic (balance - amount = NULL) and any trigger-based validation.</t>
  </si>
  <si>
    <t>ALTER TABLE accounts MODIFY balance DECIMAL(15,2) NOT NULL (and keep CHECK(balance &gt;= 0)).</t>
  </si>
  <si>
    <t>Transactions.amount accepts NULL (CHECK(amount &gt; 0) is bypassed)</t>
  </si>
  <si>
    <t>FR-3</t>
  </si>
  <si>
    <t>Same root cause as BUG-004: CHECK on a nullable column passes for NULL.</t>
  </si>
  <si>
    <t>START TRANSACTION;
INSERT INTO transactions (sender_account,transaction_type,amount,transaction_date)
VALUES (1001,'Deposit',NULL,'2026-10-01');
SELECT transaction_id, amount FROM transactions WHERE amount IS NULL;
ROLLBACK;</t>
  </si>
  <si>
    <t>Insert is rejected (amount is mandatory and &gt; 0).</t>
  </si>
  <si>
    <t>TC-TRX-07: ACCEPTED - no error raised; rule is not enforced by the database</t>
  </si>
  <si>
    <t>Transactions without an amount; balance calculations return NULL.</t>
  </si>
  <si>
    <t>ALTER TABLE transactions MODIFY amount DECIMAL(15,2) NOT NULL + CHECK(amount &gt; 0).</t>
  </si>
  <si>
    <t>Fees.amount accepts NULL (CHECK(amount &gt; 0) is bypassed)</t>
  </si>
  <si>
    <t>FR-5</t>
  </si>
  <si>
    <t>Same root cause as BUG-004.</t>
  </si>
  <si>
    <t>START TRANSACTION;
INSERT INTO fees (transaction_id,fee_type,amount) VALUES (1,'Transfer Fee',NULL);
SELECT * FROM fees WHERE amount IS NULL;
ROLLBACK;</t>
  </si>
  <si>
    <t>Insert is rejected (amount is a mandatory field).</t>
  </si>
  <si>
    <t>TC-FEE-04: ACCEPTED - no error raised; rule is not enforced by the database</t>
  </si>
  <si>
    <t>Fee totals become unreliable.</t>
  </si>
  <si>
    <t>ALTER TABLE fees MODIFY amount DECIMAL(10,2) NOT NULL + CHECK(amount &gt; 0).</t>
  </si>
  <si>
    <t>Customers.phone accepts letters and symbols (numeric-only rule not enforced), on insert and update</t>
  </si>
  <si>
    <t>FR-1</t>
  </si>
  <si>
    <t>TC-CUS-08, TC-CUS-09, TC-CUS-16</t>
  </si>
  <si>
    <t>BRD FR-1: 'Phone must contain numeric values only'. phone is a plain VARCHAR(20) with no CHECK.</t>
  </si>
  <si>
    <t>START TRANSACTION;
INSERT INTO customers (full_name,date_of_birth,email,phone) VALUES ('Abdallah Meaad','1992-01-01','t1@example.com','0101abc4567');
INSERT INTO customers (full_name,date_of_birth,email,phone) VALUES ('Abdallah Meaad','1992-01-01','t2@example.com','+20-101-2345');
UPDATE customers SET phone = 'ABC123' WHERE customer_id = 1;
SELECT customer_id, phone FROM customers WHERE phone NOT REGEXP '^[0-9]+$';
ROLLBACK;</t>
  </si>
  <si>
    <t>TC-CUS-08: ACCEPTED - no error raised; rule is not enforced by the database
TC-CUS-09: ACCEPTED - no error raised; rule is not enforced by the database
TC-CUS-16: ACCEPTED - no error raised; rule is not enforced by the database</t>
  </si>
  <si>
    <t>Invalid contact data; SMS/notification failures; KYC/compliance issues.</t>
  </si>
  <si>
    <t>CHECK (phone REGEXP '^[0-9]+$') on MySQL 8.0.16+; CHECK (phone NOT LIKE '%[^0-9]%' AND LEN(phone) &gt; 0) on SQL Server.</t>
  </si>
  <si>
    <t>Fee larger than 10% of the transaction amount is accepted (insert and update)</t>
  </si>
  <si>
    <t>TC-FEE-05, TC-FEE-14</t>
  </si>
  <si>
    <t>BRD FR-5: 'Fee cannot exceed 10% of transaction amount'. A fee of 50 on a 100 transaction (50%) is stored, and an existing fee can be raised to 60.</t>
  </si>
  <si>
    <t>START TRANSACTION;
INSERT INTO fees (transaction_id,fee_type,amount) VALUES (1,'Transfer Fee',50.00);   -- transaction 1 amount = 100.00
UPDATE fees SET amount = 60.00 WHERE fee_id = 1;
SELECT f.fee_id, f.amount, t.amount AS tx_amount FROM fees f JOIN transactions t USING (transaction_id) WHERE f.amount &gt; t.amount*0.10;
ROLLBACK;</t>
  </si>
  <si>
    <t>Both statements are rejected; boundary value 10.00 (exactly 10%) is accepted (TC-FEE-06 passes).</t>
  </si>
  <si>
    <t>TC-FEE-05: ACCEPTED - no error raised; rule is not enforced by the database
TC-FEE-14: ACCEPTED - no error raised; rule is not enforced by the database</t>
  </si>
  <si>
    <t>Customers can be over-charged; regulatory complaint risk.</t>
  </si>
  <si>
    <t>BEFORE INSERT / BEFORE UPDATE triggers on fees comparing NEW.amount with transactions.amount * 0.10 (trg_fees_bi / trg_fees_bu).</t>
  </si>
  <si>
    <t>A Transfer can be inserted without a receiver account</t>
  </si>
  <si>
    <t>BRD: receiver_account is nullable only for withdrawals/deposits. A 'Transfer' with receiver_account = NULL is accepted.</t>
  </si>
  <si>
    <t>START TRANSACTION;
INSERT INTO transactions (sender_account,receiver_account,transaction_type,amount,transaction_status,transaction_date)
VALUES (1001,NULL,'Transfer',100.00,'Success','2026-10-01');
SELECT * FROM transactions WHERE transaction_type='Transfer' AND receiver_account IS NULL;
ROLLBACK;</t>
  </si>
  <si>
    <t>Insert is rejected.</t>
  </si>
  <si>
    <t>TC-TRX-17: ACCEPTED - no error raised; rule is not enforced by the database</t>
  </si>
  <si>
    <t>Money leaves an account with no destination.</t>
  </si>
  <si>
    <t>CHECK (transaction_type &lt;&gt; 'Transfer' OR receiver_account IS NOT NULL).</t>
  </si>
  <si>
    <t>Daily transfer limit is not enforced (and its value is not defined in the BRD)</t>
  </si>
  <si>
    <t>BRD: 'Daily transfer limits enforced via triggers'. A transfer of 4,000,000 is accepted. No limit table/column/constant exists, so the rule is both unimplemented and unspecified.</t>
  </si>
  <si>
    <t>START TRANSACTION;
UPDATE accounts SET balance = 5000000.00 WHERE account_number = 1004;
INSERT INTO transactions (sender_account,receiver_account,transaction_type,amount,transaction_status,transaction_date)
VALUES (1004,1001,'Transfer',4000000.00,'Success','2026-10-01');
SELECT SUM(amount) FROM transactions WHERE sender_account=1004 AND transaction_date='2026-10-01';
ROLLBACK;</t>
  </si>
  <si>
    <t>Rejected once the (to be defined) daily limit is exceeded; cumulative transfers of the same day count.</t>
  </si>
  <si>
    <t>TC-TRX-27: ACCEPTED - no error raised; rule is not enforced by the database</t>
  </si>
  <si>
    <t>No protection against large/fraudulent transfers.</t>
  </si>
  <si>
    <t>Product owner must define the limit (assumption A-01 = 1,000,000). Enforce with a BEFORE INSERT trigger summing the sender's same-day transfers (trg_transactions_bi).</t>
  </si>
  <si>
    <t>Transfer from an account to itself is accepted</t>
  </si>
  <si>
    <t>P3</t>
  </si>
  <si>
    <t>FR-3 (implicit)</t>
  </si>
  <si>
    <t>sender_account = receiver_account is stored for a Transfer. With balance triggers this would be a no-op that still costs a fee.</t>
  </si>
  <si>
    <t>START TRANSACTION;
INSERT INTO transactions (sender_account,receiver_account,transaction_type,amount,transaction_status,transaction_date)
VALUES (1001,1001,'Transfer',100.00,'Success','2026-10-01');
SELECT * FROM transactions WHERE sender_account = receiver_account;
ROLLBACK;</t>
  </si>
  <si>
    <t>TC-TRX-18: ACCEPTED - no error raised; rule is not enforced by the database</t>
  </si>
  <si>
    <t>Meaningless/fee-generating records; reporting noise.</t>
  </si>
  <si>
    <t>CHECK (receiver_account IS NULL OR receiver_account &lt;&gt; sender_account).</t>
  </si>
  <si>
    <t>Fee rules are not enforced: duplicate 'Failed Transaction Fee', failed-fee on a successful transaction, transfer-fee on a non-transfer</t>
  </si>
  <si>
    <t>TC-FEE-09, TC-FEE-10, TC-FEE-11</t>
  </si>
  <si>
    <t>BRD: 'Failed transaction fee applied only once per failed attempt'. The Fees table has no uniqueness or context validation, so a second failed fee for transaction 3 is stored, a failed fee can be attached to a Success transaction and a Transfer Fee to a Bill Payment.</t>
  </si>
  <si>
    <t>START TRANSACTION;
INSERT INTO fees (transaction_id,fee_type,amount) VALUES (3,'Failed Transaction Fee',1.00);  -- tx 3 already has one
INSERT INTO fees (transaction_id,fee_type,amount) VALUES (1,'Failed Transaction Fee',1.00);  -- tx 1 is Success
INSERT INTO fees (transaction_id,fee_type,amount) VALUES (2,'Transfer Fee',1.00);            -- tx 2 is Bill Payment
SELECT transaction_id, fee_type, COUNT(*) FROM fees GROUP BY transaction_id, fee_type;
ROLLBACK;</t>
  </si>
  <si>
    <t>All three inserts are rejected.</t>
  </si>
  <si>
    <t>TC-FEE-09: ACCEPTED - no error raised; rule is not enforced by the database
TC-FEE-10: ACCEPTED - no error raised; rule is not enforced by the database
TC-FEE-11: ACCEPTED - no error raised; rule is not enforced by the database</t>
  </si>
  <si>
    <t>Customers charged twice or for the wrong reason.</t>
  </si>
  <si>
    <t>BEFORE INSERT trigger on fees validating status/type and existing failed fee (trg_fees_bi). A plain UNIQUE(transaction_id, fee_type) is NOT recommended because several Transfer fees per transaction are legitimate in the current tests.</t>
  </si>
  <si>
    <t>Amount of a completed (Success) transaction can be edited</t>
  </si>
  <si>
    <t>FR-3 (financial integrity)</t>
  </si>
  <si>
    <t>Updating the amount of a Success transaction succeeds silently and, with no triggers, leaves balances inconsistent with history.</t>
  </si>
  <si>
    <t>START TRANSACTION;
UPDATE transactions SET amount = 999.00 WHERE transaction_id = 1;    -- Success transfer of 100.00
SELECT transaction_id, amount, transaction_status FROM transactions WHERE transaction_id = 1;
ROLLBACK;</t>
  </si>
  <si>
    <t>Rejected: completed financial records are immutable (corrections are made with new compensating transactions).</t>
  </si>
  <si>
    <t>TC-TRX-21: ACCEPTED - no error raised; rule is not enforced by the database</t>
  </si>
  <si>
    <t>Audit trail can be altered; balance/history mismatch.</t>
  </si>
  <si>
    <t>BEFORE UPDATE trigger blocking changes of amount/accounts/type/status on Success or Failed rows (trg_transactions_bu).</t>
  </si>
  <si>
    <t>Branches.location accepts NULL although it is a mandatory field</t>
  </si>
  <si>
    <t>FR-6 Branches</t>
  </si>
  <si>
    <t>FR-6</t>
  </si>
  <si>
    <t>BRD lists branch_id, name and location as mandatory. DDL declares 'location VARCHAR(100)' (nullable).</t>
  </si>
  <si>
    <t>START TRANSACTION;
INSERT INTO branches (name,location) VALUES ('Tanta Branch',NULL);
SELECT * FROM branches WHERE location IS NULL;
ROLLBACK;</t>
  </si>
  <si>
    <t>TC-BRN-03: ACCEPTED - no error raised; rule is not enforced by the database</t>
  </si>
  <si>
    <t>Incomplete branch master data.</t>
  </si>
  <si>
    <t>ALTER TABLE branches MODIFY location VARCHAR(100) NOT NULL.</t>
  </si>
  <si>
    <t>Empty / blank strings satisfy 'mandatory' text columns (full_name, phone, category_name)</t>
  </si>
  <si>
    <t>Cross-module</t>
  </si>
  <si>
    <t>FR-1, FR-4, FR-6 (mandatory fields)</t>
  </si>
  <si>
    <t>TC-CUS-10, TC-CUS-14, TC-CAT-04</t>
  </si>
  <si>
    <t>NOT NULL does not prevent ''. A customer with an empty name and a category with an empty name are accepted.</t>
  </si>
  <si>
    <t>START TRANSACTION;
INSERT INTO customers (full_name,date_of_birth,email,phone) VALUES ('','1992-01-01','blank@example.com','01022656255');
INSERT INTO customers (full_name,date_of_birth,email,phone) VALUES ('Abdallah Meaad','1992-01-01','blank2@example.com','');
INSERT INTO transaction_categories (category_name) VALUES ('');
SELECT * FROM customers WHERE full_name='' OR phone='';
ROLLBACK;</t>
  </si>
  <si>
    <t>TC-CUS-10: ACCEPTED - no error raised; rule is not enforced by the database
TC-CUS-14: ACCEPTED - no error raised; rule is not enforced by the database
TC-CAT-04: ACCEPTED - no error raised; rule is not enforced by the database</t>
  </si>
  <si>
    <t>Unusable master data.</t>
  </si>
  <si>
    <t>CHECK (CHAR_LENGTH(TRIM(column)) &gt; 0) on the mandatory text columns.</t>
  </si>
  <si>
    <t>Weak data-quality validation: future date of birth, malformed e-mail, sub-cent money precision</t>
  </si>
  <si>
    <t>P4</t>
  </si>
  <si>
    <t>FR-1 / FR-2 data quality</t>
  </si>
  <si>
    <t>FR-1, FR-2 (data quality - assumption A-04)</t>
  </si>
  <si>
    <t>TC-CUS-11, TC-CUS-12, TC-ACC-12</t>
  </si>
  <si>
    <t>date_of_birth = 2099-01-01 and e-mail 'not-an-email' are stored. A balance of 100.999 is silently rounded to 101.00. These are not literal BRD statements; they are recommended integrity checks.</t>
  </si>
  <si>
    <t>START TRANSACTION;
INSERT INTO customers (full_name,date_of_birth,email,phone) VALUES ('Future Kid','2099-01-01','future@example.com','01000000000');
INSERT INTO customers (full_name,date_of_birth,email,phone) VALUES ('Bad Mail','1992-01-01','not-an-email','01000000000');
INSERT INTO accounts (customer_id,account_type,balance) VALUES (1,'Savings',100.999);
SELECT balance FROM accounts ORDER BY account_number DESC LIMIT 1;    -- 101.00
ROLLBACK;</t>
  </si>
  <si>
    <t>Future DOB and malformed e-mail are rejected. Sub-cent precision should be validated by the application layer (the DB cannot reject it).</t>
  </si>
  <si>
    <t>TC-CUS-11: ACCEPTED - no error raised; rule is not enforced by the database
TC-CUS-12: ACCEPTED - no error raised; rule is not enforced by the database
TC-ACC-12: ACCEPTED - no error raised; rule is not enforced by the database</t>
  </si>
  <si>
    <t>Low - data quality only.</t>
  </si>
  <si>
    <t>Trigger for DOB &lt;= CURDATE() (CHECK cannot use CURDATE()), CHECK with an e-mail REGEXP; application-level validation for money precision (TC-ACC-12 stays open at DB level).</t>
  </si>
  <si>
    <t>Schema gap: no link between Employees and transaction approvals, so the 'cannot delete approver' rule is impossible</t>
  </si>
  <si>
    <t>FR-6 Employees</t>
  </si>
  <si>
    <t>BRD FR-6: 'Employee cannot be deleted if responsible for transaction approvals'. No Transactions column or approvals table references Employees, therefore the rule cannot be implemented or tested (DELETE is also outside the INSERT/UPDATE scope).</t>
  </si>
  <si>
    <t>SELECT column_name FROM information_schema.columns
WHERE table_schema='btms_db' AND table_name='transactions';
-- no approved_by / employee_id column exists
SELECT COUNT(*) FROM information_schema.referential_constraints
WHERE constraint_schema='btms_db' AND referenced_table_name='employees';   -- 0 FKs reference employees</t>
  </si>
  <si>
    <t>A relationship (e.g. Transactions.approved_by -&gt; Employees.employee_id ON DELETE RESTRICT) exists.</t>
  </si>
  <si>
    <t>TC-EMP-06: Cannot be designed: no column/table links an employee to a transaction approval (BRD FR-6 rule). Also DELETE is outside the INSERT/UPDATE test scope.</t>
  </si>
  <si>
    <t>Business rule cannot be enforced.</t>
  </si>
  <si>
    <t>ADD COLUMN approved_by INT NULL + FOREIGN KEY ... ON DELETE RESTRICT</t>
  </si>
  <si>
    <t>BTMS - Database Schema (actual btms_db, exported from btms-db.sql - MySQL 8.0.43)</t>
  </si>
  <si>
    <t>7 tables  |  6 foreign keys  |  3 CHECK constraints (accounts_chk_1, transactions_chk_1, fees_chk_1)  |  0 triggers  |  All table names are lower-case snake_case</t>
  </si>
  <si>
    <t>Table</t>
  </si>
  <si>
    <t>Column</t>
  </si>
  <si>
    <t>Data Type</t>
  </si>
  <si>
    <t>Key</t>
  </si>
  <si>
    <t>Nullable</t>
  </si>
  <si>
    <t>Constraint / Default</t>
  </si>
  <si>
    <t>Related BRD rule</t>
  </si>
  <si>
    <t>customers</t>
  </si>
  <si>
    <t>customer_id</t>
  </si>
  <si>
    <t>INT</t>
  </si>
  <si>
    <t>PK</t>
  </si>
  <si>
    <t>No</t>
  </si>
  <si>
    <t>AUTO_INCREMENT</t>
  </si>
  <si>
    <t>All PKs auto-incremented</t>
  </si>
  <si>
    <t>full_name</t>
  </si>
  <si>
    <t>VARCHAR(100)</t>
  </si>
  <si>
    <t>NOT NULL</t>
  </si>
  <si>
    <t>FR-1 mandatory</t>
  </si>
  <si>
    <t>date_of_birth</t>
  </si>
  <si>
    <t>DATE</t>
  </si>
  <si>
    <t>email</t>
  </si>
  <si>
    <t>UNIQUE</t>
  </si>
  <si>
    <t>UNIQUE, NOT NULL</t>
  </si>
  <si>
    <t>FR-1 mandatory, must be unique</t>
  </si>
  <si>
    <t>phone</t>
  </si>
  <si>
    <t>VARCHAR(20)</t>
  </si>
  <si>
    <t>NOT NULL (no numeric CHECK)</t>
  </si>
  <si>
    <t>FR-1 numeric values only  -&gt; BUG-007</t>
  </si>
  <si>
    <t>accounts</t>
  </si>
  <si>
    <t>account_number</t>
  </si>
  <si>
    <t>FR-2 unique account number</t>
  </si>
  <si>
    <t>FK</t>
  </si>
  <si>
    <t>FK -&gt; customers(customer_id)</t>
  </si>
  <si>
    <t>FR-2 customer can have multiple accounts</t>
  </si>
  <si>
    <t>account_type</t>
  </si>
  <si>
    <t>ENUM('Savings','Current','Wallet')</t>
  </si>
  <si>
    <t>FR-2 account types</t>
  </si>
  <si>
    <t>balance</t>
  </si>
  <si>
    <t>DECIMAL(15,2)</t>
  </si>
  <si>
    <t>Yes</t>
  </si>
  <si>
    <t>CHECK(balance &gt;= 0), nullable</t>
  </si>
  <si>
    <t>FR-2 mandatory, &gt;= 0  -&gt; BUG-004</t>
  </si>
  <si>
    <t>transaction_categories</t>
  </si>
  <si>
    <t>category_id</t>
  </si>
  <si>
    <t>FR-4</t>
  </si>
  <si>
    <t>category_name</t>
  </si>
  <si>
    <t>VARCHAR(50)</t>
  </si>
  <si>
    <t>FR-4 mandatory</t>
  </si>
  <si>
    <t>transactions</t>
  </si>
  <si>
    <t>transaction_id</t>
  </si>
  <si>
    <t>sender_account</t>
  </si>
  <si>
    <t>FK -&gt; accounts(account_number)</t>
  </si>
  <si>
    <t>FR-3 sender must exist</t>
  </si>
  <si>
    <t>receiver_account</t>
  </si>
  <si>
    <t>FR-3 nullable only for deposit/withdrawal  -&gt; BUG-009</t>
  </si>
  <si>
    <t>FK -&gt; transaction_categories(category_id)</t>
  </si>
  <si>
    <t>FR-4 one category per transaction</t>
  </si>
  <si>
    <t>transaction_type</t>
  </si>
  <si>
    <t>ENUM('Deposit','Withdrawal','Transfer','Bill Payment')</t>
  </si>
  <si>
    <t>FR-3 types</t>
  </si>
  <si>
    <t>amount</t>
  </si>
  <si>
    <t>CHECK(amount &gt; 0), nullable</t>
  </si>
  <si>
    <t>FR-3 amount &gt; 0  -&gt; BUG-005</t>
  </si>
  <si>
    <t>transaction_status</t>
  </si>
  <si>
    <t>ENUM('Success','Failed','Pending')</t>
  </si>
  <si>
    <t>DEFAULT 'Pending'</t>
  </si>
  <si>
    <t>Sec.7 status must be valid</t>
  </si>
  <si>
    <t>transaction_date</t>
  </si>
  <si>
    <t>FR-3 mandatory</t>
  </si>
  <si>
    <t>fees</t>
  </si>
  <si>
    <t>fee_id</t>
  </si>
  <si>
    <t>FK -&gt; transactions(transaction_id)</t>
  </si>
  <si>
    <t>fee_type</t>
  </si>
  <si>
    <t>ENUM('Transfer Fee','Failed Transaction Fee','Over Limit Fee')</t>
  </si>
  <si>
    <t>FR-5 types</t>
  </si>
  <si>
    <t>DECIMAL(10,2)</t>
  </si>
  <si>
    <t>FR-5 mandatory, &lt;= 10% of transaction  -&gt; BUG-006, BUG-008</t>
  </si>
  <si>
    <t>branches</t>
  </si>
  <si>
    <t>branch_id</t>
  </si>
  <si>
    <t>name</t>
  </si>
  <si>
    <t>FR-6 mandatory</t>
  </si>
  <si>
    <t>location</t>
  </si>
  <si>
    <t>nullable</t>
  </si>
  <si>
    <t>FR-6 mandatory  -&gt; BUG-014</t>
  </si>
  <si>
    <t>employees</t>
  </si>
  <si>
    <t>employee_id</t>
  </si>
  <si>
    <t>FK -&gt; branches(branch_id)</t>
  </si>
  <si>
    <t>FR-6 employees linked to branches</t>
  </si>
  <si>
    <t>BTMS - Entity Relationship Diagram (actual btms_db)</t>
  </si>
  <si>
    <t>Exported from MySQL Workbench. 7 tables, 6 foreign keys, no triggers.</t>
  </si>
  <si>
    <t>Foreign key</t>
  </si>
  <si>
    <t>Child table.column</t>
  </si>
  <si>
    <t>Parent table.column</t>
  </si>
  <si>
    <t>accounts_ibfk_1</t>
  </si>
  <si>
    <t>accounts.customer_id</t>
  </si>
  <si>
    <t>customers.customer_id</t>
  </si>
  <si>
    <t>transactions_ibfk_1</t>
  </si>
  <si>
    <t>transactions.sender_account</t>
  </si>
  <si>
    <t>accounts.account_number</t>
  </si>
  <si>
    <t>transactions_ibfk_2</t>
  </si>
  <si>
    <t>transactions.receiver_account</t>
  </si>
  <si>
    <t>transactions_ibfk_3</t>
  </si>
  <si>
    <t>transactions.category_id</t>
  </si>
  <si>
    <t>transaction_categories.category_id</t>
  </si>
  <si>
    <t>fees_ibfk_1</t>
  </si>
  <si>
    <t>fees.transaction_id</t>
  </si>
  <si>
    <t>transactions.transaction_id</t>
  </si>
  <si>
    <t>employees_ibfk_1</t>
  </si>
  <si>
    <t>employees.branch_id</t>
  </si>
  <si>
    <t>branches.branch_id</t>
  </si>
  <si>
    <t>BTMS - Baseline Seed Data</t>
  </si>
  <si>
    <t>Load this data before executing any test. Every test is wrapped in START TRANSACTION ... ROLLBACK, so the data stays unchanged.</t>
  </si>
  <si>
    <t>Table: customers   (4 rows)</t>
  </si>
  <si>
    <t>Ahmed Hassan</t>
  </si>
  <si>
    <t>1990-05-14</t>
  </si>
  <si>
    <t>ahmed.hassan@example.com</t>
  </si>
  <si>
    <t>01012345678</t>
  </si>
  <si>
    <t>Sara Ali</t>
  </si>
  <si>
    <t>1995-11-02</t>
  </si>
  <si>
    <t>sara.ali@example.com</t>
  </si>
  <si>
    <t>01123456789</t>
  </si>
  <si>
    <t>Omar Khaled</t>
  </si>
  <si>
    <t>1988-03-21</t>
  </si>
  <si>
    <t>omar.khaled@example.com</t>
  </si>
  <si>
    <t>01234567890</t>
  </si>
  <si>
    <t>Mona Adel</t>
  </si>
  <si>
    <t>2000-07-09</t>
  </si>
  <si>
    <t>mona.adel@example.com</t>
  </si>
  <si>
    <t>01512345678</t>
  </si>
  <si>
    <t>Table: accounts   (5 rows)</t>
  </si>
  <si>
    <t>Savings</t>
  </si>
  <si>
    <t>Current</t>
  </si>
  <si>
    <t>Wallet</t>
  </si>
  <si>
    <t>Table: transaction_categories   (5 rows)</t>
  </si>
  <si>
    <t>Utilities</t>
  </si>
  <si>
    <t>Shopping</t>
  </si>
  <si>
    <t>Salary</t>
  </si>
  <si>
    <t>Entertainment</t>
  </si>
  <si>
    <t>Other</t>
  </si>
  <si>
    <t>Table: branches   (2 rows)</t>
  </si>
  <si>
    <t>Cairo Main</t>
  </si>
  <si>
    <t>Cairo</t>
  </si>
  <si>
    <t>Alexandria Corniche</t>
  </si>
  <si>
    <t>Alexandria</t>
  </si>
  <si>
    <t>Table: employees   (2 rows)</t>
  </si>
  <si>
    <t>Hany Mostafa</t>
  </si>
  <si>
    <t>Nadia Fathy</t>
  </si>
  <si>
    <t>Table: transactions   (3 rows)</t>
  </si>
  <si>
    <t>NULL</t>
  </si>
  <si>
    <t>Transfer</t>
  </si>
  <si>
    <t>Success</t>
  </si>
  <si>
    <t>2026-09-01</t>
  </si>
  <si>
    <t>Bill Payment</t>
  </si>
  <si>
    <t>2026-09-02</t>
  </si>
  <si>
    <t>Withdrawal</t>
  </si>
  <si>
    <t>2026-09-03</t>
  </si>
  <si>
    <t>Table: fees   (2 rows)</t>
  </si>
  <si>
    <t>Transfer Fee</t>
  </si>
  <si>
    <t>Failed Transaction Fee</t>
  </si>
  <si>
    <t>BTMS - Database Scripts (copy and run in MySQL Workbench / DBeaver / MySQL CLI)</t>
  </si>
  <si>
    <t>Step 1: run the Schema script  -&gt;  Step 2: run the Seed script. Both come from the real database export btms-db.sql (MySQL 8.0.43).</t>
  </si>
  <si>
    <t xml:space="preserve"> </t>
  </si>
  <si>
    <t>SCRIPT 1 - SCHEMA (actual btms_db, unchanged)</t>
  </si>
  <si>
    <t>-- ============================================================</t>
  </si>
  <si>
    <t>-- BTMS - Schema exactly as exported from the real database (btms-db.sql)</t>
  </si>
  <si>
    <t>-- DO NOT FIX: the database is the System Under Test.</t>
  </si>
  <si>
    <t>DROP DATABASE IF EXISTS btms_db;</t>
  </si>
  <si>
    <t>CREATE DATABASE btms_db CHARACTER SET utf8mb4;</t>
  </si>
  <si>
    <t>USE btms_db;</t>
  </si>
  <si>
    <t>CREATE TABLE `customers` (</t>
  </si>
  <si>
    <t xml:space="preserve">  `customer_id` int NOT NULL AUTO_INCREMENT,</t>
  </si>
  <si>
    <t xml:space="preserve">  `full_name` varchar(100) NOT NULL,</t>
  </si>
  <si>
    <t xml:space="preserve">  `date_of_birth` date NOT NULL,</t>
  </si>
  <si>
    <t xml:space="preserve">  `email` varchar(100) NOT NULL,</t>
  </si>
  <si>
    <t xml:space="preserve">  `phone` varchar(20) NOT NULL,</t>
  </si>
  <si>
    <t xml:space="preserve">  PRIMARY KEY (`customer_id`),</t>
  </si>
  <si>
    <t xml:space="preserve">  UNIQUE KEY `email` (`email`)</t>
  </si>
  <si>
    <t>) ENGINE=InnoDB DEFAULT CHARSET=utf8mb4 COLLATE=utf8mb4_0900_ai_ci;</t>
  </si>
  <si>
    <t>CREATE TABLE `accounts` (</t>
  </si>
  <si>
    <t xml:space="preserve">  `account_number` int NOT NULL AUTO_INCREMENT,</t>
  </si>
  <si>
    <t xml:space="preserve">  `customer_id` int NOT NULL,</t>
  </si>
  <si>
    <t xml:space="preserve">  `account_type` enum('Savings','Current','Wallet') NOT NULL,</t>
  </si>
  <si>
    <t xml:space="preserve">  `balance` decimal(15,2) DEFAULT NULL,</t>
  </si>
  <si>
    <t xml:space="preserve">  PRIMARY KEY (`account_number`),</t>
  </si>
  <si>
    <t xml:space="preserve">  KEY `customer_id` (`customer_id`),</t>
  </si>
  <si>
    <t xml:space="preserve">  CONSTRAINT `accounts_ibfk_1` FOREIGN KEY (`customer_id`) REFERENCES `customers` (`customer_id`),</t>
  </si>
  <si>
    <t xml:space="preserve">  CONSTRAINT `accounts_chk_1` CHECK ((`balance` &gt;= 0))</t>
  </si>
  <si>
    <t>CREATE TABLE `transaction_categories` (</t>
  </si>
  <si>
    <t xml:space="preserve">  `category_id` int NOT NULL AUTO_INCREMENT,</t>
  </si>
  <si>
    <t xml:space="preserve">  `category_name` varchar(50) NOT NULL,</t>
  </si>
  <si>
    <t xml:space="preserve">  PRIMARY KEY (`category_id`),</t>
  </si>
  <si>
    <t xml:space="preserve">  UNIQUE KEY `category_name` (`category_name`)</t>
  </si>
  <si>
    <t>CREATE TABLE `transactions` (</t>
  </si>
  <si>
    <t xml:space="preserve">  `transaction_id` int NOT NULL AUTO_INCREMENT,</t>
  </si>
  <si>
    <t xml:space="preserve">  `sender_account` int NOT NULL,</t>
  </si>
  <si>
    <t xml:space="preserve">  `receiver_account` int DEFAULT NULL,</t>
  </si>
  <si>
    <t xml:space="preserve">  `category_id` int DEFAULT NULL,</t>
  </si>
  <si>
    <t xml:space="preserve">  `transaction_type` enum('Deposit','Withdrawal','Transfer','Bill Payment') NOT NULL,</t>
  </si>
  <si>
    <t xml:space="preserve">  `amount` decimal(15,2) DEFAULT NULL,</t>
  </si>
  <si>
    <t xml:space="preserve">  `transaction_status` enum('Success','Failed','Pending') DEFAULT 'Pending',</t>
  </si>
  <si>
    <t xml:space="preserve">  `transaction_date` date NOT NULL,</t>
  </si>
  <si>
    <t xml:space="preserve">  PRIMARY KEY (`transaction_id`),</t>
  </si>
  <si>
    <t xml:space="preserve">  KEY `sender_account` (`sender_account`),</t>
  </si>
  <si>
    <t xml:space="preserve">  KEY `receiver_account` (`receiver_account`),</t>
  </si>
  <si>
    <t xml:space="preserve">  KEY `category_id` (`category_id`),</t>
  </si>
  <si>
    <t xml:space="preserve">  CONSTRAINT `transactions_ibfk_1` FOREIGN KEY (`sender_account`) REFERENCES `accounts` (`account_number`),</t>
  </si>
  <si>
    <t xml:space="preserve">  CONSTRAINT `transactions_ibfk_2` FOREIGN KEY (`receiver_account`) REFERENCES `accounts` (`account_number`),</t>
  </si>
  <si>
    <t xml:space="preserve">  CONSTRAINT `transactions_ibfk_3` FOREIGN KEY (`category_id`) REFERENCES `transaction_categories` (`category_id`),</t>
  </si>
  <si>
    <t xml:space="preserve">  CONSTRAINT `transactions_chk_1` CHECK ((`amount` &gt; 0))</t>
  </si>
  <si>
    <t>CREATE TABLE `fees` (</t>
  </si>
  <si>
    <t xml:space="preserve">  `fee_id` int NOT NULL AUTO_INCREMENT,</t>
  </si>
  <si>
    <t xml:space="preserve">  `transaction_id` int NOT NULL,</t>
  </si>
  <si>
    <t xml:space="preserve">  `fee_type` enum('Transfer Fee','Failed Transaction Fee','Over Limit Fee') NOT NULL,</t>
  </si>
  <si>
    <t xml:space="preserve">  `amount` decimal(10,2) DEFAULT NULL,</t>
  </si>
  <si>
    <t xml:space="preserve">  PRIMARY KEY (`fee_id`),</t>
  </si>
  <si>
    <t xml:space="preserve">  KEY `transaction_id` (`transaction_id`),</t>
  </si>
  <si>
    <t xml:space="preserve">  CONSTRAINT `fees_ibfk_1` FOREIGN KEY (`transaction_id`) REFERENCES `transactions` (`transaction_id`),</t>
  </si>
  <si>
    <t xml:space="preserve">  CONSTRAINT `fees_chk_1` CHECK ((`amount` &gt; 0))</t>
  </si>
  <si>
    <t>CREATE TABLE `branches` (</t>
  </si>
  <si>
    <t xml:space="preserve">  `branch_id` int NOT NULL AUTO_INCREMENT,</t>
  </si>
  <si>
    <t xml:space="preserve">  `name` varchar(100) NOT NULL,</t>
  </si>
  <si>
    <t xml:space="preserve">  `location` varchar(100) DEFAULT NULL,</t>
  </si>
  <si>
    <t xml:space="preserve">  PRIMARY KEY (`branch_id`)</t>
  </si>
  <si>
    <t>CREATE TABLE `employees` (</t>
  </si>
  <si>
    <t xml:space="preserve">  `employee_id` int NOT NULL AUTO_INCREMENT,</t>
  </si>
  <si>
    <t xml:space="preserve">  `branch_id` int NOT NULL,</t>
  </si>
  <si>
    <t xml:space="preserve">  PRIMARY KEY (`employee_id`),</t>
  </si>
  <si>
    <t xml:space="preserve">  KEY `branch_id` (`branch_id`),</t>
  </si>
  <si>
    <t xml:space="preserve">  CONSTRAINT `employees_ibfk_1` FOREIGN KEY (`branch_id`) REFERENCES `branches` (`branch_id`)</t>
  </si>
  <si>
    <t>SCRIPT 2 - SEED DATA</t>
  </si>
  <si>
    <t>-- Baseline data used by every test (each test runs inside a ROLLBACK).</t>
  </si>
  <si>
    <t>INSERT INTO customers (customer_id, full_name, date_of_birth, email, phone) VALUES</t>
  </si>
  <si>
    <t xml:space="preserve"> (1,'Ahmed Hassan','1990-05-14','ahmed.hassan@example.com','01012345678'),</t>
  </si>
  <si>
    <t xml:space="preserve"> (2,'Sara Ali','1995-11-02','sara.ali@example.com','01123456789'),</t>
  </si>
  <si>
    <t xml:space="preserve"> (3,'Omar Khaled','1988-03-21','omar.khaled@example.com','01234567890'),</t>
  </si>
  <si>
    <t xml:space="preserve"> (4,'Mona Adel','2000-07-09','mona.adel@example.com','01512345678');</t>
  </si>
  <si>
    <t>INSERT INTO accounts (account_number, customer_id, account_type, balance) VALUES</t>
  </si>
  <si>
    <t xml:space="preserve"> (1001,1,'Savings',5000.00),</t>
  </si>
  <si>
    <t xml:space="preserve"> (1002,1,'Current',2000.00),</t>
  </si>
  <si>
    <t xml:space="preserve"> (1003,2,'Wallet',300.00),</t>
  </si>
  <si>
    <t xml:space="preserve"> (1004,3,'Savings',10000.00),</t>
  </si>
  <si>
    <t xml:space="preserve"> (1005,4,'Current',0.00);</t>
  </si>
  <si>
    <t>INSERT INTO transaction_categories (category_id, category_name) VALUES</t>
  </si>
  <si>
    <t xml:space="preserve"> (4,'Entertainment'),</t>
  </si>
  <si>
    <t xml:space="preserve"> (5,'Other'),</t>
  </si>
  <si>
    <t xml:space="preserve"> (3,'Salary'),</t>
  </si>
  <si>
    <t xml:space="preserve"> (2,'Shopping'),</t>
  </si>
  <si>
    <t xml:space="preserve"> (1,'Utilities');</t>
  </si>
  <si>
    <t>INSERT INTO branches (branch_id, name, location) VALUES</t>
  </si>
  <si>
    <t xml:space="preserve"> (1,'Cairo Main','Cairo'),</t>
  </si>
  <si>
    <t xml:space="preserve"> (2,'Alexandria Corniche','Alexandria');</t>
  </si>
  <si>
    <t>INSERT INTO employees (employee_id, full_name, branch_id) VALUES</t>
  </si>
  <si>
    <t xml:space="preserve"> (1,'Hany Mostafa',1),</t>
  </si>
  <si>
    <t xml:space="preserve"> (2,'Nadia Fathy',2);</t>
  </si>
  <si>
    <t>INSERT INTO transactions (transaction_id, sender_account, receiver_account, category_id, transaction_type, amount, transaction_status, transaction_date) VALUES</t>
  </si>
  <si>
    <t xml:space="preserve"> (1,1001,1004,NULL,'Transfer',100.00,'Success','2026-09-01'),</t>
  </si>
  <si>
    <t xml:space="preserve"> (2,1002,NULL,1,'Bill Payment',50.00,'Success','2026-09-02'),</t>
  </si>
  <si>
    <t xml:space="preserve"> (3,1003,NULL,NULL,'Withdrawal',20.00,'Failed','2026-09-03');</t>
  </si>
  <si>
    <t>INSERT INTO fees (fee_id, transaction_id, fee_type, amount) VALUES</t>
  </si>
  <si>
    <t xml:space="preserve"> (1,1,'Transfer Fee',2.00),</t>
  </si>
  <si>
    <t xml:space="preserve"> (2,3,'Failed Transaction Fee',1.00);</t>
  </si>
  <si>
    <t>btms_db (btms-db.sql): 7 tables, 6 FKs,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</si>
</sst>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5" x14ac:knownFonts="1">
    <font>
      <sz val="11"/>
      <color theme="1"/>
      <name val="Calibri"/>
      <family val="2"/>
      <charset val="1"/>
    </font>
    <font>
      <b/>
      <sz val="18"/>
      <color rgb="FFFFFFFF"/>
      <name val="Arial"/>
      <charset val="1"/>
    </font>
    <font>
      <i/>
      <sz val="11"/>
      <color rgb="FFFFFFFF"/>
      <name val="Arial"/>
      <charset val="1"/>
    </font>
    <font>
      <b/>
      <sz val="10"/>
      <color rgb="FF1F3864"/>
      <name val="Arial"/>
      <charset val="1"/>
    </font>
    <font>
      <sz val="10"/>
      <name val="Arial"/>
      <charset val="1"/>
    </font>
    <font>
      <u/>
      <sz val="10"/>
      <color rgb="FF0563C1"/>
      <name val="Arial"/>
      <charset val="1"/>
    </font>
    <font>
      <b/>
      <sz val="12"/>
      <color rgb="FF1F3864"/>
      <name val="Arial"/>
      <charset val="1"/>
    </font>
    <font>
      <b/>
      <sz val="10"/>
      <color rgb="FFFFFFFF"/>
      <name val="Arial"/>
      <charset val="1"/>
    </font>
    <font>
      <b/>
      <sz val="10"/>
      <name val="Arial"/>
      <charset val="1"/>
    </font>
    <font>
      <i/>
      <sz val="9"/>
      <color rgb="FF595959"/>
      <name val="Arial"/>
      <charset val="1"/>
    </font>
    <font>
      <b/>
      <u/>
      <sz val="10"/>
      <color rgb="FF0563C1"/>
      <name val="Arial"/>
      <charset val="1"/>
    </font>
    <font>
      <b/>
      <sz val="16"/>
      <color rgb="FFFFFFFF"/>
      <name val="Arial"/>
      <charset val="1"/>
    </font>
    <font>
      <i/>
      <sz val="10"/>
      <color rgb="FFFFFFFF"/>
      <name val="Arial"/>
      <charset val="1"/>
    </font>
    <font>
      <sz val="9"/>
      <name val="Consolas"/>
      <charset val="1"/>
    </font>
    <font>
      <b/>
      <sz val="11"/>
      <color rgb="FF1F3864"/>
      <name val="Arial"/>
      <charset val="1"/>
    </font>
  </fonts>
  <fills count="7">
    <fill>
      <patternFill patternType="none"/>
    </fill>
    <fill>
      <patternFill patternType="gray125"/>
    </fill>
    <fill>
      <patternFill patternType="solid">
        <fgColor rgb="FF1F3864"/>
        <bgColor rgb="FF404040"/>
      </patternFill>
    </fill>
    <fill>
      <patternFill patternType="solid">
        <fgColor rgb="FF2F5597"/>
        <bgColor rgb="FF2E75B6"/>
      </patternFill>
    </fill>
    <fill>
      <patternFill patternType="solid">
        <fgColor rgb="FFC00000"/>
        <bgColor rgb="FF9C0006"/>
      </patternFill>
    </fill>
    <fill>
      <patternFill patternType="solid">
        <fgColor rgb="FFF7FAFD"/>
        <bgColor rgb="FFFFFFFF"/>
      </patternFill>
    </fill>
    <fill>
      <patternFill patternType="solid">
        <fgColor rgb="FFF2F2F2"/>
        <bgColor rgb="FFF7FAFD"/>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38">
    <xf numFmtId="0" fontId="0" fillId="0" borderId="0" xfId="0"/>
    <xf numFmtId="0" fontId="12" fillId="3" borderId="0" xfId="0" applyFont="1" applyFill="1"/>
    <xf numFmtId="0" fontId="11" fillId="2" borderId="0" xfId="0" applyFont="1" applyFill="1"/>
    <xf numFmtId="0" fontId="4" fillId="0" borderId="0" xfId="0" applyFont="1"/>
    <xf numFmtId="0" fontId="0" fillId="2" borderId="0" xfId="0" applyFill="1"/>
    <xf numFmtId="0" fontId="1" fillId="2" borderId="0" xfId="0" applyFont="1" applyFill="1"/>
    <xf numFmtId="0" fontId="0" fillId="3" borderId="0" xfId="0" applyFill="1"/>
    <xf numFmtId="0" fontId="2" fillId="3" borderId="0" xfId="0" applyFont="1" applyFill="1"/>
    <xf numFmtId="0" fontId="3" fillId="0" borderId="0" xfId="0" applyFont="1"/>
    <xf numFmtId="0" fontId="5" fillId="0" borderId="0" xfId="0" applyFont="1"/>
    <xf numFmtId="0" fontId="6" fillId="0" borderId="0" xfId="0" applyFont="1"/>
    <xf numFmtId="0" fontId="7" fillId="2" borderId="1" xfId="0" applyFont="1" applyFill="1" applyBorder="1" applyAlignment="1">
      <alignment horizontal="center" vertical="center" wrapText="1"/>
    </xf>
    <xf numFmtId="0" fontId="4" fillId="0" borderId="1" xfId="0" applyFont="1" applyBorder="1"/>
    <xf numFmtId="0" fontId="8" fillId="0" borderId="1" xfId="0" applyFont="1" applyBorder="1" applyAlignment="1">
      <alignment horizontal="center"/>
    </xf>
    <xf numFmtId="164" fontId="8" fillId="0" borderId="1" xfId="0" applyNumberFormat="1" applyFont="1" applyBorder="1" applyAlignment="1">
      <alignment horizontal="center"/>
    </xf>
    <xf numFmtId="0" fontId="8" fillId="0" borderId="0" xfId="0" applyFont="1"/>
    <xf numFmtId="0" fontId="7" fillId="4" borderId="0" xfId="0" applyFont="1" applyFill="1" applyAlignment="1">
      <alignment horizontal="center"/>
    </xf>
    <xf numFmtId="0" fontId="9" fillId="0" borderId="0" xfId="0" applyFont="1"/>
    <xf numFmtId="0" fontId="4" fillId="0" borderId="1" xfId="0" applyFont="1" applyBorder="1" applyAlignment="1">
      <alignment horizontal="center"/>
    </xf>
    <xf numFmtId="164" fontId="4" fillId="0" borderId="1" xfId="0" applyNumberFormat="1" applyFont="1" applyBorder="1" applyAlignment="1">
      <alignment horizontal="center"/>
    </xf>
    <xf numFmtId="0" fontId="8" fillId="0" borderId="1" xfId="0" applyFont="1" applyBorder="1"/>
    <xf numFmtId="0" fontId="10" fillId="0" borderId="0" xfId="0" applyFont="1"/>
    <xf numFmtId="0" fontId="4" fillId="0" borderId="1" xfId="0" applyFont="1" applyBorder="1" applyAlignment="1">
      <alignment horizontal="center" vertical="top" wrapText="1"/>
    </xf>
    <xf numFmtId="0" fontId="4" fillId="0" borderId="1" xfId="0" applyFont="1" applyBorder="1" applyAlignment="1">
      <alignment vertical="top" wrapText="1"/>
    </xf>
    <xf numFmtId="0" fontId="13" fillId="0" borderId="1" xfId="0" applyFont="1" applyBorder="1" applyAlignment="1">
      <alignment vertical="top" wrapText="1"/>
    </xf>
    <xf numFmtId="0" fontId="4" fillId="5" borderId="1" xfId="0" applyFont="1" applyFill="1" applyBorder="1" applyAlignment="1">
      <alignment horizontal="center" vertical="top" wrapText="1"/>
    </xf>
    <xf numFmtId="0" fontId="4" fillId="5" borderId="1" xfId="0" applyFont="1" applyFill="1" applyBorder="1" applyAlignment="1">
      <alignment vertical="top" wrapText="1"/>
    </xf>
    <xf numFmtId="0" fontId="13" fillId="5" borderId="1" xfId="0" applyFont="1" applyFill="1" applyBorder="1" applyAlignment="1">
      <alignment vertical="top" wrapText="1"/>
    </xf>
    <xf numFmtId="0" fontId="14" fillId="0" borderId="0" xfId="0" applyFont="1"/>
    <xf numFmtId="0" fontId="7" fillId="3" borderId="1" xfId="0" applyFont="1" applyFill="1" applyBorder="1" applyAlignment="1">
      <alignment horizontal="center"/>
    </xf>
    <xf numFmtId="0" fontId="4" fillId="0" borderId="1" xfId="0" applyFont="1" applyBorder="1" applyAlignment="1">
      <alignment horizontal="left"/>
    </xf>
    <xf numFmtId="4" fontId="4" fillId="0" borderId="1" xfId="0" applyNumberFormat="1" applyFont="1" applyBorder="1" applyAlignment="1">
      <alignment horizontal="center"/>
    </xf>
    <xf numFmtId="0" fontId="13" fillId="6" borderId="0" xfId="0" applyFont="1" applyFill="1"/>
    <xf numFmtId="0" fontId="7" fillId="2" borderId="0" xfId="0" applyFont="1" applyFill="1"/>
    <xf numFmtId="0" fontId="4" fillId="0" borderId="0" xfId="0" applyFont="1"/>
    <xf numFmtId="0" fontId="4" fillId="0" borderId="1" xfId="0" applyFont="1" applyBorder="1" applyAlignment="1">
      <alignment vertical="center" wrapText="1"/>
    </xf>
    <xf numFmtId="0" fontId="11" fillId="2" borderId="0" xfId="0" applyFont="1" applyFill="1"/>
    <xf numFmtId="0" fontId="12" fillId="3" borderId="0" xfId="0" applyFont="1" applyFill="1"/>
  </cellXfs>
  <cellStyles count="1">
    <cellStyle name="Normal" xfId="0" builtinId="0"/>
  </cellStyles>
  <dxfs count="17">
    <dxf>
      <font>
        <b/>
        <color rgb="FF375623"/>
        <name val="Arial"/>
        <charset val="1"/>
      </font>
      <fill>
        <patternFill>
          <bgColor rgb="FFE2EFDA"/>
        </patternFill>
      </fill>
    </dxf>
    <dxf>
      <font>
        <b/>
        <color rgb="FF9C5700"/>
        <name val="Arial"/>
        <charset val="1"/>
      </font>
      <fill>
        <patternFill>
          <bgColor rgb="FFFFEB9C"/>
        </patternFill>
      </fill>
    </dxf>
    <dxf>
      <font>
        <b/>
        <color rgb="FF833C0B"/>
        <name val="Arial"/>
        <charset val="1"/>
      </font>
      <fill>
        <patternFill>
          <bgColor rgb="FFF8CBAD"/>
        </patternFill>
      </fill>
    </dxf>
    <dxf>
      <font>
        <b/>
        <color rgb="FF9C0006"/>
        <name val="Arial"/>
        <charset val="1"/>
      </font>
      <fill>
        <patternFill>
          <bgColor rgb="FFFFC7CE"/>
        </patternFill>
      </fill>
    </dxf>
    <dxf>
      <font>
        <b/>
        <color rgb="FF404040"/>
        <name val="Arial"/>
        <charset val="1"/>
      </font>
      <fill>
        <patternFill>
          <bgColor rgb="FFD9D9D9"/>
        </patternFill>
      </fill>
    </dxf>
    <dxf>
      <font>
        <b/>
        <color rgb="FF9C5700"/>
        <name val="Arial"/>
        <charset val="1"/>
      </font>
      <fill>
        <patternFill>
          <bgColor rgb="FFFFEB9C"/>
        </patternFill>
      </fill>
    </dxf>
    <dxf>
      <font>
        <b/>
        <color rgb="FF9C0006"/>
        <name val="Arial"/>
        <charset val="1"/>
      </font>
      <fill>
        <patternFill>
          <bgColor rgb="FFFFC7CE"/>
        </patternFill>
      </fill>
    </dxf>
    <dxf>
      <font>
        <b/>
        <color rgb="FF006100"/>
        <name val="Arial"/>
        <charset val="1"/>
      </font>
      <fill>
        <patternFill>
          <bgColor rgb="FFC6EFCE"/>
        </patternFill>
      </fill>
    </dxf>
    <dxf>
      <font>
        <b/>
        <color rgb="FF375623"/>
        <name val="Arial"/>
        <charset val="1"/>
      </font>
      <fill>
        <patternFill>
          <bgColor rgb="FFE2EFDA"/>
        </patternFill>
      </fill>
    </dxf>
    <dxf>
      <font>
        <b/>
        <color rgb="FF9C5700"/>
        <name val="Arial"/>
        <charset val="1"/>
      </font>
      <fill>
        <patternFill>
          <bgColor rgb="FFFFEB9C"/>
        </patternFill>
      </fill>
    </dxf>
    <dxf>
      <font>
        <b/>
        <color rgb="FF833C0B"/>
        <name val="Arial"/>
        <charset val="1"/>
      </font>
      <fill>
        <patternFill>
          <bgColor rgb="FFF8CBAD"/>
        </patternFill>
      </fill>
    </dxf>
    <dxf>
      <font>
        <b/>
        <color rgb="FF9C0006"/>
        <name val="Arial"/>
        <charset val="1"/>
      </font>
      <fill>
        <patternFill>
          <bgColor rgb="FFFFC7CE"/>
        </patternFill>
      </fill>
    </dxf>
    <dxf>
      <fill>
        <patternFill>
          <bgColor rgb="FF00B050"/>
        </patternFill>
      </fill>
    </dxf>
    <dxf>
      <font>
        <b/>
        <color rgb="FF375623"/>
        <name val="Arial"/>
        <charset val="1"/>
      </font>
      <fill>
        <patternFill>
          <bgColor rgb="FFE2EFDA"/>
        </patternFill>
      </fill>
    </dxf>
    <dxf>
      <font>
        <b/>
        <color rgb="FF9C5700"/>
        <name val="Arial"/>
        <charset val="1"/>
      </font>
      <fill>
        <patternFill>
          <bgColor rgb="FFFFEB9C"/>
        </patternFill>
      </fill>
    </dxf>
    <dxf>
      <font>
        <b/>
        <color rgb="FF833C0B"/>
        <name val="Arial"/>
        <charset val="1"/>
      </font>
      <fill>
        <patternFill>
          <bgColor rgb="FFF8CBAD"/>
        </patternFill>
      </fill>
    </dxf>
    <dxf>
      <font>
        <b/>
        <color rgb="FF9C0006"/>
        <name val="Arial"/>
        <charset val="1"/>
      </font>
      <fill>
        <patternFill>
          <bgColor rgb="FFFFC7CE"/>
        </patternFill>
      </fill>
    </dxf>
  </dxfs>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9C0006"/>
      <rgbColor rgb="FF006100"/>
      <rgbColor rgb="FF000080"/>
      <rgbColor rgb="FF9C5700"/>
      <rgbColor rgb="FF800080"/>
      <rgbColor rgb="FF4F81BD"/>
      <rgbColor rgb="FFBFBFBF"/>
      <rgbColor rgb="FF7F7F7F"/>
      <rgbColor rgb="FF9999FF"/>
      <rgbColor rgb="FF993366"/>
      <rgbColor rgb="FFF7FAFD"/>
      <rgbColor rgb="FFE2EFDA"/>
      <rgbColor rgb="FF660066"/>
      <rgbColor rgb="FFFF8080"/>
      <rgbColor rgb="FF0563C1"/>
      <rgbColor rgb="FFD9D9D9"/>
      <rgbColor rgb="FF000080"/>
      <rgbColor rgb="FFFF00FF"/>
      <rgbColor rgb="FFFFFF00"/>
      <rgbColor rgb="FF00FFFF"/>
      <rgbColor rgb="FF800080"/>
      <rgbColor rgb="FF800000"/>
      <rgbColor rgb="FF008080"/>
      <rgbColor rgb="FF0000FF"/>
      <rgbColor rgb="FF00CCFF"/>
      <rgbColor rgb="FFF2F2F2"/>
      <rgbColor rgb="FFC6EFCE"/>
      <rgbColor rgb="FFFFEB9C"/>
      <rgbColor rgb="FF99CCFF"/>
      <rgbColor rgb="FFFFC7CE"/>
      <rgbColor rgb="FFCC99FF"/>
      <rgbColor rgb="FFF8CBAD"/>
      <rgbColor rgb="FF2E75B6"/>
      <rgbColor rgb="FF33CCCC"/>
      <rgbColor rgb="FF70AD47"/>
      <rgbColor rgb="FFFFC000"/>
      <rgbColor rgb="FFFF9900"/>
      <rgbColor rgb="FFED7D31"/>
      <rgbColor rgb="FF595959"/>
      <rgbColor rgb="FF878787"/>
      <rgbColor rgb="FF1F3864"/>
      <rgbColor rgb="FF00B050"/>
      <rgbColor rgb="FF003300"/>
      <rgbColor rgb="FF375623"/>
      <rgbColor rgb="FF833C0B"/>
      <rgbColor rgb="FF993366"/>
      <rgbColor rgb="FF2F5597"/>
      <rgbColor rgb="FF404040"/>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Test execution status</a:t>
            </a:r>
          </a:p>
        </c:rich>
      </c:tx>
      <c:overlay val="0"/>
      <c:spPr>
        <a:noFill/>
        <a:ln w="0">
          <a:noFill/>
        </a:ln>
      </c:spPr>
    </c:title>
    <c:autoTitleDeleted val="0"/>
    <c:plotArea>
      <c:layout/>
      <c:pieChart>
        <c:varyColors val="1"/>
        <c:ser>
          <c:idx val="0"/>
          <c:order val="0"/>
          <c:spPr>
            <a:solidFill>
              <a:srgbClr val="4F81BD"/>
            </a:solidFill>
            <a:ln w="0">
              <a:noFill/>
            </a:ln>
          </c:spPr>
          <c:dPt>
            <c:idx val="0"/>
            <c:bubble3D val="0"/>
            <c:spPr>
              <a:solidFill>
                <a:srgbClr val="00B050"/>
              </a:solidFill>
              <a:ln w="0">
                <a:noFill/>
              </a:ln>
            </c:spPr>
            <c:extLst>
              <c:ext xmlns:c16="http://schemas.microsoft.com/office/drawing/2014/chart" uri="{C3380CC4-5D6E-409C-BE32-E72D297353CC}">
                <c16:uniqueId val="{00000001-0087-43E2-AA70-8FF341D8C622}"/>
              </c:ext>
            </c:extLst>
          </c:dPt>
          <c:dPt>
            <c:idx val="1"/>
            <c:bubble3D val="0"/>
            <c:spPr>
              <a:solidFill>
                <a:srgbClr val="C00000"/>
              </a:solidFill>
              <a:ln w="0">
                <a:noFill/>
              </a:ln>
            </c:spPr>
            <c:extLst>
              <c:ext xmlns:c16="http://schemas.microsoft.com/office/drawing/2014/chart" uri="{C3380CC4-5D6E-409C-BE32-E72D297353CC}">
                <c16:uniqueId val="{00000003-0087-43E2-AA70-8FF341D8C622}"/>
              </c:ext>
            </c:extLst>
          </c:dPt>
          <c:dPt>
            <c:idx val="2"/>
            <c:bubble3D val="0"/>
            <c:spPr>
              <a:solidFill>
                <a:srgbClr val="FFC000"/>
              </a:solidFill>
              <a:ln w="0">
                <a:noFill/>
              </a:ln>
            </c:spPr>
            <c:extLst>
              <c:ext xmlns:c16="http://schemas.microsoft.com/office/drawing/2014/chart" uri="{C3380CC4-5D6E-409C-BE32-E72D297353CC}">
                <c16:uniqueId val="{00000005-0087-43E2-AA70-8FF341D8C622}"/>
              </c:ext>
            </c:extLst>
          </c:dPt>
          <c:dLbls>
            <c:dLbl>
              <c:idx val="0"/>
              <c:spPr/>
              <c:txPr>
                <a:bodyPr wrap="square"/>
                <a:lstStyle/>
                <a:p>
                  <a:pPr>
                    <a:defRPr sz="1000" b="0" strike="noStrike" spc="-1">
                      <a:solidFill>
                        <a:srgbClr val="000000"/>
                      </a:solidFill>
                      <a:latin typeface="Calibri"/>
                    </a:defRPr>
                  </a:pPr>
                  <a:endParaRPr lang="en-US"/>
                </a:p>
              </c:txPr>
              <c:dLblPos val="bestFit"/>
              <c:showLegendKey val="0"/>
              <c:showVal val="0"/>
              <c:showCatName val="0"/>
              <c:showSerName val="0"/>
              <c:showPercent val="1"/>
              <c:showBubbleSize val="1"/>
              <c:extLst>
                <c:ext xmlns:c15="http://schemas.microsoft.com/office/drawing/2012/chart" uri="{CE6537A1-D6FC-4f65-9D91-7224C49458BB}"/>
                <c:ext xmlns:c16="http://schemas.microsoft.com/office/drawing/2014/chart" uri="{C3380CC4-5D6E-409C-BE32-E72D297353CC}">
                  <c16:uniqueId val="{00000001-0087-43E2-AA70-8FF341D8C622}"/>
                </c:ext>
              </c:extLst>
            </c:dLbl>
            <c:dLbl>
              <c:idx val="1"/>
              <c:spPr/>
              <c:txPr>
                <a:bodyPr wrap="square"/>
                <a:lstStyle/>
                <a:p>
                  <a:pPr>
                    <a:defRPr sz="1000" b="0" strike="noStrike" spc="-1">
                      <a:solidFill>
                        <a:srgbClr val="000000"/>
                      </a:solidFill>
                      <a:latin typeface="Calibri"/>
                    </a:defRPr>
                  </a:pPr>
                  <a:endParaRPr lang="en-US"/>
                </a:p>
              </c:txPr>
              <c:dLblPos val="bestFit"/>
              <c:showLegendKey val="0"/>
              <c:showVal val="0"/>
              <c:showCatName val="0"/>
              <c:showSerName val="0"/>
              <c:showPercent val="1"/>
              <c:showBubbleSize val="1"/>
              <c:extLst>
                <c:ext xmlns:c15="http://schemas.microsoft.com/office/drawing/2012/chart" uri="{CE6537A1-D6FC-4f65-9D91-7224C49458BB}"/>
                <c:ext xmlns:c16="http://schemas.microsoft.com/office/drawing/2014/chart" uri="{C3380CC4-5D6E-409C-BE32-E72D297353CC}">
                  <c16:uniqueId val="{00000003-0087-43E2-AA70-8FF341D8C622}"/>
                </c:ext>
              </c:extLst>
            </c:dLbl>
            <c:dLbl>
              <c:idx val="2"/>
              <c:spPr/>
              <c:txPr>
                <a:bodyPr wrap="square"/>
                <a:lstStyle/>
                <a:p>
                  <a:pPr>
                    <a:defRPr sz="1000" b="0" strike="noStrike" spc="-1">
                      <a:solidFill>
                        <a:srgbClr val="000000"/>
                      </a:solidFill>
                      <a:latin typeface="Calibri"/>
                    </a:defRPr>
                  </a:pPr>
                  <a:endParaRPr lang="en-US"/>
                </a:p>
              </c:txPr>
              <c:dLblPos val="bestFit"/>
              <c:showLegendKey val="0"/>
              <c:showVal val="0"/>
              <c:showCatName val="0"/>
              <c:showSerName val="0"/>
              <c:showPercent val="1"/>
              <c:showBubbleSize val="1"/>
              <c:extLst>
                <c:ext xmlns:c15="http://schemas.microsoft.com/office/drawing/2012/chart" uri="{CE6537A1-D6FC-4f65-9D91-7224C49458BB}"/>
                <c:ext xmlns:c16="http://schemas.microsoft.com/office/drawing/2014/chart" uri="{C3380CC4-5D6E-409C-BE32-E72D297353CC}">
                  <c16:uniqueId val="{00000005-0087-43E2-AA70-8FF341D8C622}"/>
                </c:ext>
              </c:extLst>
            </c:dLbl>
            <c:spPr>
              <a:noFill/>
              <a:ln>
                <a:noFill/>
              </a:ln>
              <a:effectLst/>
            </c:spPr>
            <c:txPr>
              <a:bodyPr wrap="square"/>
              <a:lstStyle/>
              <a:p>
                <a:pPr>
                  <a:defRPr sz="1000" b="0" strike="noStrike" spc="-1">
                    <a:solidFill>
                      <a:srgbClr val="000000"/>
                    </a:solidFill>
                    <a:latin typeface="Calibri"/>
                  </a:defRPr>
                </a:pPr>
                <a:endParaRPr lang="en-US"/>
              </a:p>
            </c:txPr>
            <c:dLblPos val="bestFit"/>
            <c:showLegendKey val="0"/>
            <c:showVal val="0"/>
            <c:showCatName val="0"/>
            <c:showSerName val="0"/>
            <c:showPercent val="1"/>
            <c:showBubbleSize val="1"/>
            <c:separator>
</c:separator>
            <c:showLeaderLines val="1"/>
            <c:extLst>
              <c:ext xmlns:c15="http://schemas.microsoft.com/office/drawing/2012/chart" uri="{CE6537A1-D6FC-4f65-9D91-7224C49458BB}"/>
            </c:extLst>
          </c:dLbls>
          <c:cat>
            <c:strRef>
              <c:f>Summary!$B$14:$B$16</c:f>
              <c:strCache>
                <c:ptCount val="3"/>
                <c:pt idx="0">
                  <c:v>Passed</c:v>
                </c:pt>
                <c:pt idx="1">
                  <c:v>Failed</c:v>
                </c:pt>
                <c:pt idx="2">
                  <c:v>Blocked</c:v>
                </c:pt>
              </c:strCache>
            </c:strRef>
          </c:cat>
          <c:val>
            <c:numRef>
              <c:f>Summary!$C$14:$C$16</c:f>
              <c:numCache>
                <c:formatCode>General</c:formatCode>
                <c:ptCount val="3"/>
                <c:pt idx="0">
                  <c:v>68</c:v>
                </c:pt>
                <c:pt idx="1">
                  <c:v>34</c:v>
                </c:pt>
                <c:pt idx="2">
                  <c:v>1</c:v>
                </c:pt>
              </c:numCache>
            </c:numRef>
          </c:val>
          <c:extLst>
            <c:ext xmlns:c16="http://schemas.microsoft.com/office/drawing/2014/chart" uri="{C3380CC4-5D6E-409C-BE32-E72D297353CC}">
              <c16:uniqueId val="{00000006-0087-43E2-AA70-8FF341D8C622}"/>
            </c:ext>
          </c:extLst>
        </c:ser>
        <c:dLbls>
          <c:showLegendKey val="0"/>
          <c:showVal val="0"/>
          <c:showCatName val="0"/>
          <c:showSerName val="0"/>
          <c:showPercent val="0"/>
          <c:showBubbleSize val="0"/>
          <c:showLeaderLines val="1"/>
        </c:dLbls>
        <c:firstSliceAng val="0"/>
      </c:pieChart>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Defects by severity</a:t>
            </a:r>
          </a:p>
        </c:rich>
      </c:tx>
      <c:overlay val="0"/>
      <c:spPr>
        <a:noFill/>
        <a:ln w="0">
          <a:noFill/>
        </a:ln>
      </c:spPr>
    </c:title>
    <c:autoTitleDeleted val="0"/>
    <c:plotArea>
      <c:layout/>
      <c:barChart>
        <c:barDir val="col"/>
        <c:grouping val="clustered"/>
        <c:varyColors val="0"/>
        <c:ser>
          <c:idx val="0"/>
          <c:order val="0"/>
          <c:spPr>
            <a:solidFill>
              <a:srgbClr val="4F81BD"/>
            </a:solidFill>
            <a:ln w="0">
              <a:noFill/>
            </a:ln>
          </c:spPr>
          <c:invertIfNegative val="0"/>
          <c:dPt>
            <c:idx val="0"/>
            <c:invertIfNegative val="0"/>
            <c:bubble3D val="0"/>
            <c:spPr>
              <a:solidFill>
                <a:srgbClr val="C00000"/>
              </a:solidFill>
              <a:ln w="0">
                <a:noFill/>
              </a:ln>
            </c:spPr>
            <c:extLst>
              <c:ext xmlns:c16="http://schemas.microsoft.com/office/drawing/2014/chart" uri="{C3380CC4-5D6E-409C-BE32-E72D297353CC}">
                <c16:uniqueId val="{00000001-F09A-4EC7-B200-C0500658456B}"/>
              </c:ext>
            </c:extLst>
          </c:dPt>
          <c:dPt>
            <c:idx val="1"/>
            <c:invertIfNegative val="0"/>
            <c:bubble3D val="0"/>
            <c:spPr>
              <a:solidFill>
                <a:srgbClr val="ED7D31"/>
              </a:solidFill>
              <a:ln w="0">
                <a:noFill/>
              </a:ln>
            </c:spPr>
            <c:extLst>
              <c:ext xmlns:c16="http://schemas.microsoft.com/office/drawing/2014/chart" uri="{C3380CC4-5D6E-409C-BE32-E72D297353CC}">
                <c16:uniqueId val="{00000003-F09A-4EC7-B200-C0500658456B}"/>
              </c:ext>
            </c:extLst>
          </c:dPt>
          <c:dPt>
            <c:idx val="2"/>
            <c:invertIfNegative val="0"/>
            <c:bubble3D val="0"/>
            <c:spPr>
              <a:solidFill>
                <a:srgbClr val="FFC000"/>
              </a:solidFill>
              <a:ln w="0">
                <a:noFill/>
              </a:ln>
            </c:spPr>
            <c:extLst>
              <c:ext xmlns:c16="http://schemas.microsoft.com/office/drawing/2014/chart" uri="{C3380CC4-5D6E-409C-BE32-E72D297353CC}">
                <c16:uniqueId val="{00000005-F09A-4EC7-B200-C0500658456B}"/>
              </c:ext>
            </c:extLst>
          </c:dPt>
          <c:dPt>
            <c:idx val="3"/>
            <c:invertIfNegative val="0"/>
            <c:bubble3D val="0"/>
            <c:spPr>
              <a:solidFill>
                <a:srgbClr val="70AD47"/>
              </a:solidFill>
              <a:ln w="0">
                <a:noFill/>
              </a:ln>
            </c:spPr>
            <c:extLst>
              <c:ext xmlns:c16="http://schemas.microsoft.com/office/drawing/2014/chart" uri="{C3380CC4-5D6E-409C-BE32-E72D297353CC}">
                <c16:uniqueId val="{00000007-F09A-4EC7-B200-C0500658456B}"/>
              </c:ext>
            </c:extLst>
          </c:dPt>
          <c:dLbls>
            <c:dLbl>
              <c:idx val="0"/>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1-F09A-4EC7-B200-C0500658456B}"/>
                </c:ext>
              </c:extLst>
            </c:dLbl>
            <c:dLbl>
              <c:idx val="1"/>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3-F09A-4EC7-B200-C0500658456B}"/>
                </c:ext>
              </c:extLst>
            </c:dLbl>
            <c:dLbl>
              <c:idx val="2"/>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5-F09A-4EC7-B200-C0500658456B}"/>
                </c:ext>
              </c:extLst>
            </c:dLbl>
            <c:dLbl>
              <c:idx val="3"/>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7-F09A-4EC7-B200-C0500658456B}"/>
                </c:ext>
              </c:extLst>
            </c:dLbl>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Summary!$B$37:$B$40</c:f>
              <c:strCache>
                <c:ptCount val="4"/>
                <c:pt idx="0">
                  <c:v>Critical</c:v>
                </c:pt>
                <c:pt idx="1">
                  <c:v>High</c:v>
                </c:pt>
                <c:pt idx="2">
                  <c:v>Medium</c:v>
                </c:pt>
                <c:pt idx="3">
                  <c:v>Low</c:v>
                </c:pt>
              </c:strCache>
            </c:strRef>
          </c:cat>
          <c:val>
            <c:numRef>
              <c:f>Summary!$C$37:$C$40</c:f>
              <c:numCache>
                <c:formatCode>General</c:formatCode>
                <c:ptCount val="4"/>
                <c:pt idx="0">
                  <c:v>3</c:v>
                </c:pt>
                <c:pt idx="1">
                  <c:v>7</c:v>
                </c:pt>
                <c:pt idx="2">
                  <c:v>6</c:v>
                </c:pt>
                <c:pt idx="3">
                  <c:v>1</c:v>
                </c:pt>
              </c:numCache>
            </c:numRef>
          </c:val>
          <c:extLst>
            <c:ext xmlns:c16="http://schemas.microsoft.com/office/drawing/2014/chart" uri="{C3380CC4-5D6E-409C-BE32-E72D297353CC}">
              <c16:uniqueId val="{00000008-F09A-4EC7-B200-C0500658456B}"/>
            </c:ext>
          </c:extLst>
        </c:ser>
        <c:dLbls>
          <c:showLegendKey val="0"/>
          <c:showVal val="0"/>
          <c:showCatName val="0"/>
          <c:showSerName val="0"/>
          <c:showPercent val="0"/>
          <c:showBubbleSize val="0"/>
        </c:dLbls>
        <c:gapWidth val="150"/>
        <c:axId val="27851863"/>
        <c:axId val="38517631"/>
      </c:barChart>
      <c:catAx>
        <c:axId val="27851863"/>
        <c:scaling>
          <c:orientation val="minMax"/>
        </c:scaling>
        <c:delete val="0"/>
        <c:axPos val="b"/>
        <c:numFmt formatCode="General"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38517631"/>
        <c:crosses val="autoZero"/>
        <c:auto val="1"/>
        <c:lblAlgn val="ctr"/>
        <c:lblOffset val="100"/>
        <c:noMultiLvlLbl val="0"/>
      </c:catAx>
      <c:valAx>
        <c:axId val="38517631"/>
        <c:scaling>
          <c:orientation val="minMax"/>
        </c:scaling>
        <c:delete val="0"/>
        <c:axPos val="l"/>
        <c:majorGridlines>
          <c:spPr>
            <a:ln w="9360">
              <a:solidFill>
                <a:srgbClr val="878787"/>
              </a:solidFill>
              <a:round/>
            </a:ln>
          </c:spPr>
        </c:majorGridlines>
        <c:numFmt formatCode="General"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27851863"/>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9</xdr:col>
      <xdr:colOff>0</xdr:colOff>
      <xdr:row>3</xdr:row>
      <xdr:rowOff>0</xdr:rowOff>
    </xdr:from>
    <xdr:to>
      <xdr:col>15</xdr:col>
      <xdr:colOff>290160</xdr:colOff>
      <xdr:row>16</xdr:row>
      <xdr:rowOff>60840</xdr:rowOff>
    </xdr:to>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0</xdr:colOff>
      <xdr:row>19</xdr:row>
      <xdr:rowOff>0</xdr:rowOff>
    </xdr:from>
    <xdr:to>
      <xdr:col>15</xdr:col>
      <xdr:colOff>290160</xdr:colOff>
      <xdr:row>32</xdr:row>
      <xdr:rowOff>60840</xdr:rowOff>
    </xdr:to>
    <xdr:graphicFrame macro="">
      <xdr:nvGraphicFramePr>
        <xdr:cNvPr id="3" name="Chart 2">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2</xdr:row>
      <xdr:rowOff>131040</xdr:rowOff>
    </xdr:from>
    <xdr:to>
      <xdr:col>4</xdr:col>
      <xdr:colOff>572760</xdr:colOff>
      <xdr:row>32</xdr:row>
      <xdr:rowOff>168840</xdr:rowOff>
    </xdr:to>
    <xdr:pic>
      <xdr:nvPicPr>
        <xdr:cNvPr id="2" name="Image 1" descr="Picture">
          <a:extLst>
            <a:ext uri="{FF2B5EF4-FFF2-40B4-BE49-F238E27FC236}">
              <a16:creationId xmlns:a16="http://schemas.microsoft.com/office/drawing/2014/main" id="{00000000-0008-0000-0400-000002000000}"/>
            </a:ext>
          </a:extLst>
        </xdr:cNvPr>
        <xdr:cNvPicPr/>
      </xdr:nvPicPr>
      <xdr:blipFill>
        <a:blip xmlns:r="http://schemas.openxmlformats.org/officeDocument/2006/relationships" r:embed="rId1"/>
        <a:stretch/>
      </xdr:blipFill>
      <xdr:spPr>
        <a:xfrm>
          <a:off x="0" y="571680"/>
          <a:ext cx="8467200" cy="5752800"/>
        </a:xfrm>
        <a:prstGeom prst="rect">
          <a:avLst/>
        </a:prstGeom>
        <a:ln w="0">
          <a:noFill/>
        </a:ln>
      </xdr:spPr>
    </xdr:pic>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hyperlink" Target="BTMS_Database_Testing_Abdallah_Meaad.xlsx" TargetMode="External"/><Relationship Id="rId7" Type="http://schemas.openxmlformats.org/officeDocument/2006/relationships/hyperlink" Target="BTMS_Database_Testing_Abdallah_Meaad.xlsx" TargetMode="External"/><Relationship Id="rId2" Type="http://schemas.openxmlformats.org/officeDocument/2006/relationships/hyperlink" Target="https://abdallahmeaad.github.io/My_CV" TargetMode="External"/><Relationship Id="rId1" Type="http://schemas.openxmlformats.org/officeDocument/2006/relationships/hyperlink" Target="https://www.linkedin.com/in/abdallah-meaad" TargetMode="External"/><Relationship Id="rId6" Type="http://schemas.openxmlformats.org/officeDocument/2006/relationships/hyperlink" Target="BTMS_Database_Testing_Abdallah_Meaad.xlsx" TargetMode="External"/><Relationship Id="rId5" Type="http://schemas.openxmlformats.org/officeDocument/2006/relationships/hyperlink" Target="BTMS_Database_Testing_Abdallah_Meaad.xlsx" TargetMode="External"/><Relationship Id="rId4" Type="http://schemas.openxmlformats.org/officeDocument/2006/relationships/hyperlink" Target="BTMS_Database_Testing_Abdallah_Meaad.xlsx"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F3864"/>
    <pageSetUpPr fitToPage="1"/>
  </sheetPr>
  <dimension ref="A1:I56"/>
  <sheetViews>
    <sheetView showGridLines="0" tabSelected="1" zoomScaleNormal="100" workbookViewId="0">
      <selection activeCell="H10" sqref="H10"/>
    </sheetView>
  </sheetViews>
  <sheetFormatPr defaultColWidth="8.6640625" defaultRowHeight="14.4" x14ac:dyDescent="0.3"/>
  <cols>
    <col min="1" max="1" width="3" customWidth="1"/>
    <col min="2" max="2" width="30" customWidth="1"/>
    <col min="3" max="7" width="14" customWidth="1"/>
    <col min="8" max="8" width="16" customWidth="1"/>
  </cols>
  <sheetData>
    <row r="1" spans="1:9" ht="33.75" customHeight="1" x14ac:dyDescent="0.4">
      <c r="A1" s="4"/>
      <c r="B1" s="5" t="s">
        <v>0</v>
      </c>
      <c r="C1" s="4"/>
      <c r="D1" s="4"/>
      <c r="E1" s="4"/>
      <c r="F1" s="4"/>
      <c r="G1" s="4"/>
      <c r="H1" s="4"/>
      <c r="I1" s="4"/>
    </row>
    <row r="2" spans="1:9" ht="21.75" customHeight="1" x14ac:dyDescent="0.3">
      <c r="A2" s="6"/>
      <c r="B2" s="7" t="s">
        <v>1</v>
      </c>
      <c r="C2" s="6"/>
      <c r="D2" s="6"/>
      <c r="E2" s="6"/>
      <c r="F2" s="6"/>
      <c r="G2" s="6"/>
      <c r="H2" s="6"/>
      <c r="I2" s="6"/>
    </row>
    <row r="4" spans="1:9" ht="15" customHeight="1" x14ac:dyDescent="0.3">
      <c r="B4" s="8" t="s">
        <v>2</v>
      </c>
      <c r="C4" s="3" t="s">
        <v>3</v>
      </c>
    </row>
    <row r="5" spans="1:9" ht="15" customHeight="1" x14ac:dyDescent="0.3">
      <c r="B5" s="8" t="s">
        <v>4</v>
      </c>
      <c r="C5" s="3" t="s">
        <v>5</v>
      </c>
    </row>
    <row r="6" spans="1:9" ht="15" customHeight="1" x14ac:dyDescent="0.3">
      <c r="B6" s="8" t="s">
        <v>6</v>
      </c>
      <c r="C6" s="3" t="s">
        <v>7</v>
      </c>
    </row>
    <row r="7" spans="1:9" ht="15" customHeight="1" x14ac:dyDescent="0.3">
      <c r="B7" s="8" t="s">
        <v>8</v>
      </c>
      <c r="C7" s="3" t="s">
        <v>942</v>
      </c>
    </row>
    <row r="8" spans="1:9" ht="15" customHeight="1" x14ac:dyDescent="0.3">
      <c r="B8" s="8" t="s">
        <v>9</v>
      </c>
      <c r="C8" s="9" t="s">
        <v>10</v>
      </c>
    </row>
    <row r="9" spans="1:9" ht="15" customHeight="1" x14ac:dyDescent="0.3">
      <c r="B9" s="8" t="s">
        <v>11</v>
      </c>
      <c r="C9" s="9" t="s">
        <v>12</v>
      </c>
    </row>
    <row r="11" spans="1:9" ht="15" customHeight="1" x14ac:dyDescent="0.3">
      <c r="B11" s="10" t="s">
        <v>13</v>
      </c>
    </row>
    <row r="12" spans="1:9" ht="27.75" customHeight="1" x14ac:dyDescent="0.3">
      <c r="B12" s="11" t="s">
        <v>14</v>
      </c>
      <c r="C12" s="11" t="s">
        <v>15</v>
      </c>
    </row>
    <row r="13" spans="1:9" ht="15" customHeight="1" x14ac:dyDescent="0.3">
      <c r="B13" s="12" t="s">
        <v>16</v>
      </c>
      <c r="C13" s="13">
        <f>COUNTA('Test Cases'!$A$5:$A$107)</f>
        <v>103</v>
      </c>
    </row>
    <row r="14" spans="1:9" ht="15" customHeight="1" x14ac:dyDescent="0.3">
      <c r="B14" s="12" t="s">
        <v>17</v>
      </c>
      <c r="C14" s="13">
        <f>COUNTIF('Test Cases'!$L$5:$L$167,"Pass")</f>
        <v>68</v>
      </c>
    </row>
    <row r="15" spans="1:9" ht="15" customHeight="1" x14ac:dyDescent="0.3">
      <c r="B15" s="12" t="s">
        <v>18</v>
      </c>
      <c r="C15" s="13">
        <f>COUNTIF('Test Cases'!$L$5:$L$167,"Fail")</f>
        <v>34</v>
      </c>
    </row>
    <row r="16" spans="1:9" ht="15" customHeight="1" x14ac:dyDescent="0.3">
      <c r="B16" s="12" t="s">
        <v>19</v>
      </c>
      <c r="C16" s="13">
        <f>COUNTIF('Test Cases'!$L$5:$L$167,"Blocked")</f>
        <v>1</v>
      </c>
    </row>
    <row r="17" spans="2:7" ht="15" customHeight="1" x14ac:dyDescent="0.3">
      <c r="B17" s="12" t="s">
        <v>20</v>
      </c>
      <c r="C17" s="13">
        <f>COUNTIF('Test Cases'!$L$5:$L$167,"Not Run")</f>
        <v>0</v>
      </c>
    </row>
    <row r="18" spans="2:7" ht="15" customHeight="1" x14ac:dyDescent="0.3">
      <c r="B18" s="12" t="s">
        <v>21</v>
      </c>
      <c r="C18" s="14">
        <f>IFERROR(C14/C13,0)</f>
        <v>0.66019417475728159</v>
      </c>
    </row>
    <row r="19" spans="2:7" ht="15" customHeight="1" x14ac:dyDescent="0.3">
      <c r="B19" s="12" t="s">
        <v>22</v>
      </c>
      <c r="C19" s="13">
        <f>SUM('Test Cases'!$F$5:$F$107)</f>
        <v>159</v>
      </c>
    </row>
    <row r="20" spans="2:7" ht="15" customHeight="1" x14ac:dyDescent="0.3">
      <c r="B20" s="12" t="s">
        <v>23</v>
      </c>
      <c r="C20" s="13">
        <f>SUMIFS('Test Cases'!$F$5:$F$107,'Test Cases'!$L$5:$L$107,"Pass")</f>
        <v>102</v>
      </c>
    </row>
    <row r="21" spans="2:7" ht="15" customHeight="1" x14ac:dyDescent="0.3">
      <c r="B21" s="12" t="s">
        <v>24</v>
      </c>
      <c r="C21" s="14">
        <f>IFERROR(C20/C19,0)</f>
        <v>0.64150943396226412</v>
      </c>
    </row>
    <row r="22" spans="2:7" ht="15" customHeight="1" x14ac:dyDescent="0.3">
      <c r="B22" s="12" t="s">
        <v>25</v>
      </c>
      <c r="C22" s="13">
        <f>COUNTA('Bug Reports'!$A$5:$A$62)</f>
        <v>17</v>
      </c>
    </row>
    <row r="23" spans="2:7" ht="15" customHeight="1" x14ac:dyDescent="0.3">
      <c r="B23" s="15" t="s">
        <v>26</v>
      </c>
      <c r="C23" s="16" t="str">
        <f>IF(AND(C15=0,COUNTIFS('Bug Reports'!$C$5:$C$62,"Critical",'Bug Reports'!$N$5:$N$62,"Open")=0),"GO","NO-GO")</f>
        <v>NO-GO</v>
      </c>
      <c r="D23" s="17"/>
    </row>
    <row r="25" spans="2:7" ht="15" customHeight="1" x14ac:dyDescent="0.3">
      <c r="B25" s="10" t="s">
        <v>27</v>
      </c>
    </row>
    <row r="26" spans="2:7" ht="27.75" customHeight="1" x14ac:dyDescent="0.3">
      <c r="B26" s="11" t="s">
        <v>28</v>
      </c>
      <c r="C26" s="11" t="s">
        <v>29</v>
      </c>
      <c r="D26" s="11" t="s">
        <v>30</v>
      </c>
      <c r="E26" s="11" t="s">
        <v>31</v>
      </c>
      <c r="F26" s="11" t="s">
        <v>19</v>
      </c>
      <c r="G26" s="11" t="s">
        <v>21</v>
      </c>
    </row>
    <row r="27" spans="2:7" ht="15" customHeight="1" x14ac:dyDescent="0.3">
      <c r="B27" s="12" t="s">
        <v>32</v>
      </c>
      <c r="C27" s="18">
        <f>COUNTIF('Test Cases'!$B$5:$B$107,B27)</f>
        <v>19</v>
      </c>
      <c r="D27" s="18">
        <f>COUNTIFS('Test Cases'!$B$5:$B$107,$B27,'Test Cases'!$L$5:$L$107,"Pass")</f>
        <v>12</v>
      </c>
      <c r="E27" s="18">
        <f>COUNTIFS('Test Cases'!$B$5:$B$107,$B27,'Test Cases'!$L$5:$L$107,"Fail")</f>
        <v>7</v>
      </c>
      <c r="F27" s="18">
        <f>COUNTIFS('Test Cases'!$B$5:$B$107,$B27,'Test Cases'!$L$5:$L$107,"Blocked")</f>
        <v>0</v>
      </c>
      <c r="G27" s="19">
        <f t="shared" ref="G27:G33" si="0">IFERROR(D27/C27,0)</f>
        <v>0.63157894736842102</v>
      </c>
    </row>
    <row r="28" spans="2:7" ht="15" customHeight="1" x14ac:dyDescent="0.3">
      <c r="B28" s="12" t="s">
        <v>33</v>
      </c>
      <c r="C28" s="18">
        <f>COUNTIF('Test Cases'!$B$5:$B$107,B28)</f>
        <v>15</v>
      </c>
      <c r="D28" s="18">
        <f>COUNTIFS('Test Cases'!$B$5:$B$107,$B28,'Test Cases'!$L$5:$L$107,"Pass")</f>
        <v>11</v>
      </c>
      <c r="E28" s="18">
        <f>COUNTIFS('Test Cases'!$B$5:$B$107,$B28,'Test Cases'!$L$5:$L$107,"Fail")</f>
        <v>4</v>
      </c>
      <c r="F28" s="18">
        <f>COUNTIFS('Test Cases'!$B$5:$B$107,$B28,'Test Cases'!$L$5:$L$107,"Blocked")</f>
        <v>0</v>
      </c>
      <c r="G28" s="19">
        <f t="shared" si="0"/>
        <v>0.73333333333333328</v>
      </c>
    </row>
    <row r="29" spans="2:7" ht="15" customHeight="1" x14ac:dyDescent="0.3">
      <c r="B29" s="12" t="s">
        <v>34</v>
      </c>
      <c r="C29" s="18">
        <f>COUNTIF('Test Cases'!$B$5:$B$107,B29)</f>
        <v>29</v>
      </c>
      <c r="D29" s="18">
        <f>COUNTIFS('Test Cases'!$B$5:$B$107,$B29,'Test Cases'!$L$5:$L$107,"Pass")</f>
        <v>17</v>
      </c>
      <c r="E29" s="18">
        <f>COUNTIFS('Test Cases'!$B$5:$B$107,$B29,'Test Cases'!$L$5:$L$107,"Fail")</f>
        <v>12</v>
      </c>
      <c r="F29" s="18">
        <f>COUNTIFS('Test Cases'!$B$5:$B$107,$B29,'Test Cases'!$L$5:$L$107,"Blocked")</f>
        <v>0</v>
      </c>
      <c r="G29" s="19">
        <f t="shared" si="0"/>
        <v>0.58620689655172409</v>
      </c>
    </row>
    <row r="30" spans="2:7" ht="15" customHeight="1" x14ac:dyDescent="0.3">
      <c r="B30" s="12" t="s">
        <v>35</v>
      </c>
      <c r="C30" s="18">
        <f>COUNTIF('Test Cases'!$B$5:$B$107,B30)</f>
        <v>9</v>
      </c>
      <c r="D30" s="18">
        <f>COUNTIFS('Test Cases'!$B$5:$B$107,$B30,'Test Cases'!$L$5:$L$107,"Pass")</f>
        <v>8</v>
      </c>
      <c r="E30" s="18">
        <f>COUNTIFS('Test Cases'!$B$5:$B$107,$B30,'Test Cases'!$L$5:$L$107,"Fail")</f>
        <v>1</v>
      </c>
      <c r="F30" s="18">
        <f>COUNTIFS('Test Cases'!$B$5:$B$107,$B30,'Test Cases'!$L$5:$L$107,"Blocked")</f>
        <v>0</v>
      </c>
      <c r="G30" s="19">
        <f t="shared" si="0"/>
        <v>0.88888888888888884</v>
      </c>
    </row>
    <row r="31" spans="2:7" ht="15" customHeight="1" x14ac:dyDescent="0.3">
      <c r="B31" s="12" t="s">
        <v>36</v>
      </c>
      <c r="C31" s="18">
        <f>COUNTIF('Test Cases'!$B$5:$B$107,B31)</f>
        <v>15</v>
      </c>
      <c r="D31" s="18">
        <f>COUNTIFS('Test Cases'!$B$5:$B$107,$B31,'Test Cases'!$L$5:$L$107,"Pass")</f>
        <v>7</v>
      </c>
      <c r="E31" s="18">
        <f>COUNTIFS('Test Cases'!$B$5:$B$107,$B31,'Test Cases'!$L$5:$L$107,"Fail")</f>
        <v>8</v>
      </c>
      <c r="F31" s="18">
        <f>COUNTIFS('Test Cases'!$B$5:$B$107,$B31,'Test Cases'!$L$5:$L$107,"Blocked")</f>
        <v>0</v>
      </c>
      <c r="G31" s="19">
        <f t="shared" si="0"/>
        <v>0.46666666666666667</v>
      </c>
    </row>
    <row r="32" spans="2:7" ht="15" customHeight="1" x14ac:dyDescent="0.3">
      <c r="B32" s="12" t="s">
        <v>37</v>
      </c>
      <c r="C32" s="18">
        <f>COUNTIF('Test Cases'!$B$5:$B$107,B32)</f>
        <v>10</v>
      </c>
      <c r="D32" s="18">
        <f>COUNTIFS('Test Cases'!$B$5:$B$107,$B32,'Test Cases'!$L$5:$L$107,"Pass")</f>
        <v>8</v>
      </c>
      <c r="E32" s="18">
        <f>COUNTIFS('Test Cases'!$B$5:$B$107,$B32,'Test Cases'!$L$5:$L$107,"Fail")</f>
        <v>1</v>
      </c>
      <c r="F32" s="18">
        <f>COUNTIFS('Test Cases'!$B$5:$B$107,$B32,'Test Cases'!$L$5:$L$107,"Blocked")</f>
        <v>1</v>
      </c>
      <c r="G32" s="19">
        <f t="shared" si="0"/>
        <v>0.8</v>
      </c>
    </row>
    <row r="33" spans="2:8" ht="15" customHeight="1" x14ac:dyDescent="0.3">
      <c r="B33" s="12" t="s">
        <v>38</v>
      </c>
      <c r="C33" s="18">
        <f>COUNTIF('Test Cases'!$B$5:$B$107,B33)</f>
        <v>6</v>
      </c>
      <c r="D33" s="18">
        <f>COUNTIFS('Test Cases'!$B$5:$B$107,$B33,'Test Cases'!$L$5:$L$107,"Pass")</f>
        <v>5</v>
      </c>
      <c r="E33" s="18">
        <f>COUNTIFS('Test Cases'!$B$5:$B$107,$B33,'Test Cases'!$L$5:$L$107,"Fail")</f>
        <v>1</v>
      </c>
      <c r="F33" s="18">
        <f>COUNTIFS('Test Cases'!$B$5:$B$107,$B33,'Test Cases'!$L$5:$L$107,"Blocked")</f>
        <v>0</v>
      </c>
      <c r="G33" s="19">
        <f t="shared" si="0"/>
        <v>0.83333333333333337</v>
      </c>
    </row>
    <row r="35" spans="2:8" ht="15" customHeight="1" x14ac:dyDescent="0.3">
      <c r="B35" s="10" t="s">
        <v>39</v>
      </c>
    </row>
    <row r="36" spans="2:8" ht="27.75" customHeight="1" x14ac:dyDescent="0.3">
      <c r="B36" s="11" t="s">
        <v>40</v>
      </c>
      <c r="C36" s="11" t="s">
        <v>41</v>
      </c>
    </row>
    <row r="37" spans="2:8" ht="15" customHeight="1" x14ac:dyDescent="0.3">
      <c r="B37" s="20" t="s">
        <v>42</v>
      </c>
      <c r="C37" s="18">
        <f>COUNTIF('Bug Reports'!$C$5:$C$62,B37)</f>
        <v>3</v>
      </c>
    </row>
    <row r="38" spans="2:8" ht="15" customHeight="1" x14ac:dyDescent="0.3">
      <c r="B38" s="20" t="s">
        <v>43</v>
      </c>
      <c r="C38" s="18">
        <f>COUNTIF('Bug Reports'!$C$5:$C$62,B38)</f>
        <v>7</v>
      </c>
    </row>
    <row r="39" spans="2:8" ht="15" customHeight="1" x14ac:dyDescent="0.3">
      <c r="B39" s="20" t="s">
        <v>44</v>
      </c>
      <c r="C39" s="18">
        <f>COUNTIF('Bug Reports'!$C$5:$C$62,B39)</f>
        <v>6</v>
      </c>
    </row>
    <row r="40" spans="2:8" ht="15" customHeight="1" x14ac:dyDescent="0.3">
      <c r="B40" s="20" t="s">
        <v>45</v>
      </c>
      <c r="C40" s="18">
        <f>COUNTIF('Bug Reports'!$C$5:$C$62,B40)</f>
        <v>1</v>
      </c>
    </row>
    <row r="42" spans="2:8" ht="15" customHeight="1" x14ac:dyDescent="0.3">
      <c r="B42" s="10" t="s">
        <v>46</v>
      </c>
    </row>
    <row r="43" spans="2:8" ht="27.75" customHeight="1" x14ac:dyDescent="0.3">
      <c r="B43" s="13" t="s">
        <v>47</v>
      </c>
      <c r="C43" s="35" t="s">
        <v>48</v>
      </c>
      <c r="D43" s="35"/>
      <c r="E43" s="35"/>
      <c r="F43" s="35"/>
      <c r="G43" s="35"/>
      <c r="H43" s="35"/>
    </row>
    <row r="44" spans="2:8" ht="27.75" customHeight="1" x14ac:dyDescent="0.3">
      <c r="B44" s="13" t="s">
        <v>49</v>
      </c>
      <c r="C44" s="35" t="s">
        <v>50</v>
      </c>
      <c r="D44" s="35"/>
      <c r="E44" s="35"/>
      <c r="F44" s="35"/>
      <c r="G44" s="35"/>
      <c r="H44" s="35"/>
    </row>
    <row r="45" spans="2:8" ht="27.75" customHeight="1" x14ac:dyDescent="0.3">
      <c r="B45" s="13" t="s">
        <v>51</v>
      </c>
      <c r="C45" s="35" t="s">
        <v>52</v>
      </c>
      <c r="D45" s="35"/>
      <c r="E45" s="35"/>
      <c r="F45" s="35"/>
      <c r="G45" s="35"/>
      <c r="H45" s="35"/>
    </row>
    <row r="46" spans="2:8" ht="27.75" customHeight="1" x14ac:dyDescent="0.3">
      <c r="B46" s="13" t="s">
        <v>53</v>
      </c>
      <c r="C46" s="35" t="s">
        <v>54</v>
      </c>
      <c r="D46" s="35"/>
      <c r="E46" s="35"/>
      <c r="F46" s="35"/>
      <c r="G46" s="35"/>
      <c r="H46" s="35"/>
    </row>
    <row r="47" spans="2:8" ht="27.75" customHeight="1" x14ac:dyDescent="0.3">
      <c r="B47" s="13" t="s">
        <v>55</v>
      </c>
      <c r="C47" s="35" t="s">
        <v>56</v>
      </c>
      <c r="D47" s="35"/>
      <c r="E47" s="35"/>
      <c r="F47" s="35"/>
      <c r="G47" s="35"/>
      <c r="H47" s="35"/>
    </row>
    <row r="48" spans="2:8" ht="23.85" customHeight="1" x14ac:dyDescent="0.3">
      <c r="B48" s="13" t="s">
        <v>57</v>
      </c>
      <c r="C48" s="35" t="s">
        <v>58</v>
      </c>
      <c r="D48" s="35"/>
      <c r="E48" s="35"/>
      <c r="F48" s="35"/>
      <c r="G48" s="35"/>
      <c r="H48" s="35"/>
    </row>
    <row r="50" spans="2:8" ht="15" customHeight="1" x14ac:dyDescent="0.3">
      <c r="B50" s="10" t="s">
        <v>59</v>
      </c>
    </row>
    <row r="51" spans="2:8" ht="15" customHeight="1" x14ac:dyDescent="0.3">
      <c r="B51" s="21" t="s">
        <v>60</v>
      </c>
      <c r="C51" s="34" t="s">
        <v>61</v>
      </c>
      <c r="D51" s="34"/>
      <c r="E51" s="34"/>
      <c r="F51" s="34"/>
      <c r="G51" s="34"/>
      <c r="H51" s="34"/>
    </row>
    <row r="52" spans="2:8" ht="15" customHeight="1" x14ac:dyDescent="0.3">
      <c r="B52" s="21" t="s">
        <v>62</v>
      </c>
      <c r="C52" s="34" t="s">
        <v>63</v>
      </c>
      <c r="D52" s="34"/>
      <c r="E52" s="34"/>
      <c r="F52" s="34"/>
      <c r="G52" s="34"/>
      <c r="H52" s="34"/>
    </row>
    <row r="53" spans="2:8" ht="15" customHeight="1" x14ac:dyDescent="0.3">
      <c r="B53" s="21" t="s">
        <v>64</v>
      </c>
      <c r="C53" s="34" t="s">
        <v>65</v>
      </c>
      <c r="D53" s="34"/>
      <c r="E53" s="34"/>
      <c r="F53" s="34"/>
      <c r="G53" s="34"/>
      <c r="H53" s="34"/>
    </row>
    <row r="54" spans="2:8" ht="15" customHeight="1" x14ac:dyDescent="0.3">
      <c r="B54" s="21" t="s">
        <v>66</v>
      </c>
      <c r="C54" s="34" t="s">
        <v>67</v>
      </c>
      <c r="D54" s="34"/>
      <c r="E54" s="34"/>
      <c r="F54" s="34"/>
      <c r="G54" s="34"/>
      <c r="H54" s="34"/>
    </row>
    <row r="55" spans="2:8" ht="15" customHeight="1" x14ac:dyDescent="0.3">
      <c r="B55" s="21" t="s">
        <v>68</v>
      </c>
      <c r="C55" s="34" t="s">
        <v>69</v>
      </c>
      <c r="D55" s="34"/>
      <c r="E55" s="34"/>
      <c r="F55" s="34"/>
      <c r="G55" s="34"/>
      <c r="H55" s="34"/>
    </row>
    <row r="56" spans="2:8" x14ac:dyDescent="0.3">
      <c r="B56" s="21" t="s">
        <v>70</v>
      </c>
      <c r="C56" s="34" t="s">
        <v>71</v>
      </c>
      <c r="D56" s="34"/>
      <c r="E56" s="34"/>
      <c r="F56" s="34"/>
      <c r="G56" s="34"/>
      <c r="H56" s="34"/>
    </row>
  </sheetData>
  <mergeCells count="12">
    <mergeCell ref="C43:H43"/>
    <mergeCell ref="C44:H44"/>
    <mergeCell ref="C45:H45"/>
    <mergeCell ref="C46:H46"/>
    <mergeCell ref="C47:H47"/>
    <mergeCell ref="C55:H55"/>
    <mergeCell ref="C56:H56"/>
    <mergeCell ref="C48:H48"/>
    <mergeCell ref="C51:H51"/>
    <mergeCell ref="C52:H52"/>
    <mergeCell ref="C53:H53"/>
    <mergeCell ref="C54:H54"/>
  </mergeCells>
  <conditionalFormatting sqref="B37:B40">
    <cfRule type="cellIs" dxfId="16" priority="3" operator="equal">
      <formula>"Critical"</formula>
    </cfRule>
    <cfRule type="cellIs" dxfId="15" priority="4" operator="equal">
      <formula>"High"</formula>
    </cfRule>
    <cfRule type="cellIs" dxfId="14" priority="5" operator="equal">
      <formula>"Medium"</formula>
    </cfRule>
    <cfRule type="cellIs" dxfId="13" priority="6" operator="equal">
      <formula>"Low"</formula>
    </cfRule>
  </conditionalFormatting>
  <conditionalFormatting sqref="C23">
    <cfRule type="cellIs" dxfId="12" priority="2" operator="equal">
      <formula>"GO"</formula>
    </cfRule>
  </conditionalFormatting>
  <hyperlinks>
    <hyperlink ref="C8" r:id="rId1" xr:uid="{00000000-0004-0000-0000-000000000000}"/>
    <hyperlink ref="C9" r:id="rId2" xr:uid="{00000000-0004-0000-0000-000001000000}"/>
    <hyperlink ref="B51" r:id="rId3" location="'Test%20Cases'!A1" xr:uid="{00000000-0004-0000-0000-000002000000}"/>
    <hyperlink ref="B52" r:id="rId4" location="'Bug%20Reports'!A1" xr:uid="{00000000-0004-0000-0000-000003000000}"/>
    <hyperlink ref="B53" r:id="rId5" location="'DB%20Schema'!A1" xr:uid="{00000000-0004-0000-0000-000004000000}"/>
    <hyperlink ref="B54" r:id="rId6" location="'DB%20Seed%20Data'!A1" xr:uid="{00000000-0004-0000-0000-000005000000}"/>
    <hyperlink ref="B55" r:id="rId7" location="'DB%20Scripts'!A1" xr:uid="{00000000-0004-0000-0000-000006000000}"/>
  </hyperlinks>
  <pageMargins left="0.75" right="0.75" top="1" bottom="1" header="0.511811023622047" footer="0.511811023622047"/>
  <pageSetup fitToHeight="0" orientation="landscape" horizontalDpi="300" verticalDpi="300"/>
  <drawing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2E75B6"/>
    <pageSetUpPr fitToPage="1"/>
  </sheetPr>
  <dimension ref="A1:O107"/>
  <sheetViews>
    <sheetView showGridLines="0" zoomScaleNormal="100" workbookViewId="0">
      <pane xSplit="3" ySplit="4" topLeftCell="D5" activePane="bottomRight" state="frozen"/>
      <selection pane="topRight" activeCell="D1" sqref="D1"/>
      <selection pane="bottomLeft" activeCell="A5" sqref="A5"/>
      <selection pane="bottomRight" activeCell="G183" sqref="G183"/>
    </sheetView>
  </sheetViews>
  <sheetFormatPr defaultColWidth="8.6640625" defaultRowHeight="14.4" x14ac:dyDescent="0.3"/>
  <cols>
    <col min="1" max="1" width="11" customWidth="1"/>
    <col min="2" max="2" width="17" customWidth="1"/>
    <col min="3" max="3" width="36" customWidth="1"/>
    <col min="4" max="4" width="13" customWidth="1"/>
    <col min="5" max="5" width="10" customWidth="1"/>
    <col min="6" max="6" width="8" customWidth="1"/>
    <col min="7" max="7" width="26" customWidth="1"/>
    <col min="8" max="8" width="44" customWidth="1"/>
    <col min="9" max="9" width="56" customWidth="1"/>
    <col min="10" max="10" width="34" customWidth="1"/>
    <col min="11" max="11" width="38" customWidth="1"/>
    <col min="12" max="12" width="11" customWidth="1"/>
    <col min="13" max="13" width="14" customWidth="1"/>
    <col min="14" max="14" width="19" customWidth="1"/>
    <col min="15" max="15" width="12" customWidth="1"/>
  </cols>
  <sheetData>
    <row r="1" spans="1:15" ht="30" customHeight="1" x14ac:dyDescent="0.4">
      <c r="A1" s="2" t="s">
        <v>72</v>
      </c>
      <c r="B1" s="4"/>
      <c r="C1" s="4"/>
      <c r="D1" s="4"/>
      <c r="E1" s="4"/>
      <c r="F1" s="4"/>
      <c r="G1" s="4"/>
      <c r="H1" s="4"/>
      <c r="I1" s="4"/>
      <c r="J1" s="4"/>
      <c r="K1" s="4"/>
      <c r="L1" s="4"/>
      <c r="M1" s="4"/>
      <c r="N1" s="4"/>
      <c r="O1" s="4"/>
    </row>
    <row r="2" spans="1:15" ht="19.5" customHeight="1" x14ac:dyDescent="0.3">
      <c r="A2" s="1" t="s">
        <v>73</v>
      </c>
      <c r="B2" s="6"/>
      <c r="C2" s="6"/>
      <c r="D2" s="6"/>
      <c r="E2" s="6"/>
      <c r="F2" s="6"/>
      <c r="G2" s="6"/>
      <c r="H2" s="6"/>
      <c r="I2" s="6"/>
      <c r="J2" s="6"/>
      <c r="K2" s="6"/>
      <c r="L2" s="6"/>
      <c r="M2" s="6"/>
      <c r="N2" s="6"/>
      <c r="O2" s="6"/>
    </row>
    <row r="4" spans="1:15" ht="31.5" customHeight="1" x14ac:dyDescent="0.3">
      <c r="A4" s="11" t="s">
        <v>74</v>
      </c>
      <c r="B4" s="11" t="s">
        <v>75</v>
      </c>
      <c r="C4" s="11" t="s">
        <v>76</v>
      </c>
      <c r="D4" s="11" t="s">
        <v>77</v>
      </c>
      <c r="E4" s="11" t="s">
        <v>78</v>
      </c>
      <c r="F4" s="11" t="s">
        <v>79</v>
      </c>
      <c r="G4" s="11" t="s">
        <v>80</v>
      </c>
      <c r="H4" s="11" t="s">
        <v>81</v>
      </c>
      <c r="I4" s="11" t="s">
        <v>82</v>
      </c>
      <c r="J4" s="11" t="s">
        <v>83</v>
      </c>
      <c r="K4" s="11" t="s">
        <v>84</v>
      </c>
      <c r="L4" s="11" t="s">
        <v>85</v>
      </c>
      <c r="M4" s="11" t="s">
        <v>86</v>
      </c>
      <c r="N4" s="11" t="s">
        <v>87</v>
      </c>
      <c r="O4" s="11" t="s">
        <v>88</v>
      </c>
    </row>
    <row r="5" spans="1:15" ht="98.25" customHeight="1" x14ac:dyDescent="0.3">
      <c r="A5" s="22" t="s">
        <v>89</v>
      </c>
      <c r="B5" s="23" t="s">
        <v>32</v>
      </c>
      <c r="C5" s="23" t="s">
        <v>90</v>
      </c>
      <c r="D5" s="22" t="s">
        <v>91</v>
      </c>
      <c r="E5" s="22" t="s">
        <v>43</v>
      </c>
      <c r="F5" s="22">
        <v>1</v>
      </c>
      <c r="G5" s="23" t="s">
        <v>92</v>
      </c>
      <c r="H5" s="23" t="s">
        <v>93</v>
      </c>
      <c r="I5" s="24" t="s">
        <v>94</v>
      </c>
      <c r="J5" s="23" t="s">
        <v>95</v>
      </c>
      <c r="K5" s="23" t="s">
        <v>96</v>
      </c>
      <c r="L5" s="22" t="s">
        <v>30</v>
      </c>
      <c r="M5" s="22" t="s">
        <v>97</v>
      </c>
      <c r="N5" s="23" t="s">
        <v>98</v>
      </c>
      <c r="O5" s="22" t="s">
        <v>5</v>
      </c>
    </row>
    <row r="6" spans="1:15" ht="98.25" customHeight="1" x14ac:dyDescent="0.3">
      <c r="A6" s="25" t="s">
        <v>99</v>
      </c>
      <c r="B6" s="26" t="s">
        <v>32</v>
      </c>
      <c r="C6" s="26" t="s">
        <v>100</v>
      </c>
      <c r="D6" s="25" t="s">
        <v>101</v>
      </c>
      <c r="E6" s="25" t="s">
        <v>43</v>
      </c>
      <c r="F6" s="25">
        <v>1</v>
      </c>
      <c r="G6" s="26" t="s">
        <v>92</v>
      </c>
      <c r="H6" s="26" t="s">
        <v>102</v>
      </c>
      <c r="I6" s="27" t="s">
        <v>103</v>
      </c>
      <c r="J6" s="26" t="s">
        <v>104</v>
      </c>
      <c r="K6" s="26" t="s">
        <v>105</v>
      </c>
      <c r="L6" s="25" t="s">
        <v>30</v>
      </c>
      <c r="M6" s="25" t="s">
        <v>97</v>
      </c>
      <c r="N6" s="26" t="s">
        <v>98</v>
      </c>
      <c r="O6" s="25" t="s">
        <v>5</v>
      </c>
    </row>
    <row r="7" spans="1:15" ht="98.25" customHeight="1" x14ac:dyDescent="0.3">
      <c r="A7" s="22" t="s">
        <v>106</v>
      </c>
      <c r="B7" s="23" t="s">
        <v>32</v>
      </c>
      <c r="C7" s="23" t="s">
        <v>107</v>
      </c>
      <c r="D7" s="22" t="s">
        <v>108</v>
      </c>
      <c r="E7" s="22" t="s">
        <v>44</v>
      </c>
      <c r="F7" s="22">
        <v>1</v>
      </c>
      <c r="G7" s="23" t="s">
        <v>92</v>
      </c>
      <c r="H7" s="23" t="s">
        <v>102</v>
      </c>
      <c r="I7" s="24" t="s">
        <v>109</v>
      </c>
      <c r="J7" s="23" t="s">
        <v>104</v>
      </c>
      <c r="K7" s="23" t="s">
        <v>110</v>
      </c>
      <c r="L7" s="22" t="s">
        <v>30</v>
      </c>
      <c r="M7" s="22" t="s">
        <v>97</v>
      </c>
      <c r="N7" s="23" t="s">
        <v>98</v>
      </c>
      <c r="O7" s="22" t="s">
        <v>5</v>
      </c>
    </row>
    <row r="8" spans="1:15" ht="98.25" customHeight="1" x14ac:dyDescent="0.3">
      <c r="A8" s="25" t="s">
        <v>111</v>
      </c>
      <c r="B8" s="26" t="s">
        <v>32</v>
      </c>
      <c r="C8" s="26" t="s">
        <v>112</v>
      </c>
      <c r="D8" s="25" t="s">
        <v>101</v>
      </c>
      <c r="E8" s="25" t="s">
        <v>43</v>
      </c>
      <c r="F8" s="25">
        <v>1</v>
      </c>
      <c r="G8" s="26" t="s">
        <v>92</v>
      </c>
      <c r="H8" s="26" t="s">
        <v>102</v>
      </c>
      <c r="I8" s="27" t="s">
        <v>113</v>
      </c>
      <c r="J8" s="26" t="s">
        <v>104</v>
      </c>
      <c r="K8" s="26" t="s">
        <v>114</v>
      </c>
      <c r="L8" s="25" t="s">
        <v>30</v>
      </c>
      <c r="M8" s="25" t="s">
        <v>97</v>
      </c>
      <c r="N8" s="26" t="s">
        <v>98</v>
      </c>
      <c r="O8" s="25" t="s">
        <v>5</v>
      </c>
    </row>
    <row r="9" spans="1:15" ht="98.25" customHeight="1" x14ac:dyDescent="0.3">
      <c r="A9" s="22" t="s">
        <v>115</v>
      </c>
      <c r="B9" s="23" t="s">
        <v>32</v>
      </c>
      <c r="C9" s="23" t="s">
        <v>116</v>
      </c>
      <c r="D9" s="22" t="s">
        <v>101</v>
      </c>
      <c r="E9" s="22" t="s">
        <v>43</v>
      </c>
      <c r="F9" s="22">
        <v>1</v>
      </c>
      <c r="G9" s="23" t="s">
        <v>92</v>
      </c>
      <c r="H9" s="23" t="s">
        <v>102</v>
      </c>
      <c r="I9" s="24" t="s">
        <v>117</v>
      </c>
      <c r="J9" s="23" t="s">
        <v>104</v>
      </c>
      <c r="K9" s="23" t="s">
        <v>118</v>
      </c>
      <c r="L9" s="22" t="s">
        <v>30</v>
      </c>
      <c r="M9" s="22" t="s">
        <v>97</v>
      </c>
      <c r="N9" s="23" t="s">
        <v>98</v>
      </c>
      <c r="O9" s="22" t="s">
        <v>5</v>
      </c>
    </row>
    <row r="10" spans="1:15" ht="98.25" customHeight="1" x14ac:dyDescent="0.3">
      <c r="A10" s="25" t="s">
        <v>119</v>
      </c>
      <c r="B10" s="26" t="s">
        <v>32</v>
      </c>
      <c r="C10" s="26" t="s">
        <v>120</v>
      </c>
      <c r="D10" s="25" t="s">
        <v>101</v>
      </c>
      <c r="E10" s="25" t="s">
        <v>43</v>
      </c>
      <c r="F10" s="25">
        <v>1</v>
      </c>
      <c r="G10" s="26" t="s">
        <v>92</v>
      </c>
      <c r="H10" s="26" t="s">
        <v>102</v>
      </c>
      <c r="I10" s="27" t="s">
        <v>121</v>
      </c>
      <c r="J10" s="26" t="s">
        <v>104</v>
      </c>
      <c r="K10" s="26" t="s">
        <v>122</v>
      </c>
      <c r="L10" s="25" t="s">
        <v>30</v>
      </c>
      <c r="M10" s="25" t="s">
        <v>97</v>
      </c>
      <c r="N10" s="26" t="s">
        <v>98</v>
      </c>
      <c r="O10" s="25" t="s">
        <v>5</v>
      </c>
    </row>
    <row r="11" spans="1:15" ht="98.25" customHeight="1" x14ac:dyDescent="0.3">
      <c r="A11" s="22" t="s">
        <v>123</v>
      </c>
      <c r="B11" s="23" t="s">
        <v>32</v>
      </c>
      <c r="C11" s="23" t="s">
        <v>124</v>
      </c>
      <c r="D11" s="22" t="s">
        <v>101</v>
      </c>
      <c r="E11" s="22" t="s">
        <v>43</v>
      </c>
      <c r="F11" s="22">
        <v>1</v>
      </c>
      <c r="G11" s="23" t="s">
        <v>92</v>
      </c>
      <c r="H11" s="23" t="s">
        <v>102</v>
      </c>
      <c r="I11" s="24" t="s">
        <v>125</v>
      </c>
      <c r="J11" s="23" t="s">
        <v>104</v>
      </c>
      <c r="K11" s="23" t="s">
        <v>126</v>
      </c>
      <c r="L11" s="22" t="s">
        <v>30</v>
      </c>
      <c r="M11" s="22" t="s">
        <v>97</v>
      </c>
      <c r="N11" s="23" t="s">
        <v>98</v>
      </c>
      <c r="O11" s="22" t="s">
        <v>5</v>
      </c>
    </row>
    <row r="12" spans="1:15" ht="98.25" customHeight="1" x14ac:dyDescent="0.3">
      <c r="A12" s="25" t="s">
        <v>127</v>
      </c>
      <c r="B12" s="26" t="s">
        <v>32</v>
      </c>
      <c r="C12" s="26" t="s">
        <v>128</v>
      </c>
      <c r="D12" s="25" t="s">
        <v>101</v>
      </c>
      <c r="E12" s="25" t="s">
        <v>43</v>
      </c>
      <c r="F12" s="25">
        <v>1</v>
      </c>
      <c r="G12" s="26" t="s">
        <v>92</v>
      </c>
      <c r="H12" s="26" t="s">
        <v>102</v>
      </c>
      <c r="I12" s="27" t="s">
        <v>129</v>
      </c>
      <c r="J12" s="26" t="s">
        <v>130</v>
      </c>
      <c r="K12" s="26" t="s">
        <v>131</v>
      </c>
      <c r="L12" s="25" t="s">
        <v>31</v>
      </c>
      <c r="M12" s="25" t="s">
        <v>132</v>
      </c>
      <c r="N12" s="26" t="s">
        <v>98</v>
      </c>
      <c r="O12" s="25" t="s">
        <v>5</v>
      </c>
    </row>
    <row r="13" spans="1:15" ht="98.25" customHeight="1" x14ac:dyDescent="0.3">
      <c r="A13" s="22" t="s">
        <v>133</v>
      </c>
      <c r="B13" s="23" t="s">
        <v>32</v>
      </c>
      <c r="C13" s="23" t="s">
        <v>134</v>
      </c>
      <c r="D13" s="22" t="s">
        <v>101</v>
      </c>
      <c r="E13" s="22" t="s">
        <v>43</v>
      </c>
      <c r="F13" s="22">
        <v>1</v>
      </c>
      <c r="G13" s="23" t="s">
        <v>92</v>
      </c>
      <c r="H13" s="23" t="s">
        <v>102</v>
      </c>
      <c r="I13" s="24" t="s">
        <v>135</v>
      </c>
      <c r="J13" s="23" t="s">
        <v>136</v>
      </c>
      <c r="K13" s="23" t="s">
        <v>131</v>
      </c>
      <c r="L13" s="22" t="s">
        <v>31</v>
      </c>
      <c r="M13" s="22" t="s">
        <v>132</v>
      </c>
      <c r="N13" s="23" t="s">
        <v>98</v>
      </c>
      <c r="O13" s="22" t="s">
        <v>5</v>
      </c>
    </row>
    <row r="14" spans="1:15" ht="98.25" customHeight="1" x14ac:dyDescent="0.3">
      <c r="A14" s="25" t="s">
        <v>137</v>
      </c>
      <c r="B14" s="26" t="s">
        <v>32</v>
      </c>
      <c r="C14" s="26" t="s">
        <v>138</v>
      </c>
      <c r="D14" s="25" t="s">
        <v>108</v>
      </c>
      <c r="E14" s="25" t="s">
        <v>44</v>
      </c>
      <c r="F14" s="25">
        <v>1</v>
      </c>
      <c r="G14" s="26" t="s">
        <v>92</v>
      </c>
      <c r="H14" s="26" t="s">
        <v>102</v>
      </c>
      <c r="I14" s="27" t="s">
        <v>139</v>
      </c>
      <c r="J14" s="26" t="s">
        <v>140</v>
      </c>
      <c r="K14" s="26" t="s">
        <v>131</v>
      </c>
      <c r="L14" s="25" t="s">
        <v>31</v>
      </c>
      <c r="M14" s="25" t="s">
        <v>141</v>
      </c>
      <c r="N14" s="26" t="s">
        <v>98</v>
      </c>
      <c r="O14" s="25" t="s">
        <v>5</v>
      </c>
    </row>
    <row r="15" spans="1:15" ht="98.25" customHeight="1" x14ac:dyDescent="0.3">
      <c r="A15" s="22" t="s">
        <v>142</v>
      </c>
      <c r="B15" s="23" t="s">
        <v>32</v>
      </c>
      <c r="C15" s="23" t="s">
        <v>143</v>
      </c>
      <c r="D15" s="22" t="s">
        <v>108</v>
      </c>
      <c r="E15" s="22" t="s">
        <v>44</v>
      </c>
      <c r="F15" s="22">
        <v>1</v>
      </c>
      <c r="G15" s="23" t="s">
        <v>92</v>
      </c>
      <c r="H15" s="23" t="s">
        <v>102</v>
      </c>
      <c r="I15" s="24" t="s">
        <v>144</v>
      </c>
      <c r="J15" s="23" t="s">
        <v>145</v>
      </c>
      <c r="K15" s="23" t="s">
        <v>131</v>
      </c>
      <c r="L15" s="22" t="s">
        <v>31</v>
      </c>
      <c r="M15" s="22" t="s">
        <v>146</v>
      </c>
      <c r="N15" s="23" t="s">
        <v>98</v>
      </c>
      <c r="O15" s="22" t="s">
        <v>5</v>
      </c>
    </row>
    <row r="16" spans="1:15" ht="98.25" customHeight="1" x14ac:dyDescent="0.3">
      <c r="A16" s="25" t="s">
        <v>147</v>
      </c>
      <c r="B16" s="26" t="s">
        <v>32</v>
      </c>
      <c r="C16" s="26" t="s">
        <v>148</v>
      </c>
      <c r="D16" s="25" t="s">
        <v>108</v>
      </c>
      <c r="E16" s="25" t="s">
        <v>45</v>
      </c>
      <c r="F16" s="25">
        <v>1</v>
      </c>
      <c r="G16" s="26" t="s">
        <v>92</v>
      </c>
      <c r="H16" s="26" t="s">
        <v>102</v>
      </c>
      <c r="I16" s="27" t="s">
        <v>149</v>
      </c>
      <c r="J16" s="26" t="s">
        <v>150</v>
      </c>
      <c r="K16" s="26" t="s">
        <v>131</v>
      </c>
      <c r="L16" s="25" t="s">
        <v>31</v>
      </c>
      <c r="M16" s="25" t="s">
        <v>146</v>
      </c>
      <c r="N16" s="26" t="s">
        <v>98</v>
      </c>
      <c r="O16" s="25" t="s">
        <v>5</v>
      </c>
    </row>
    <row r="17" spans="1:15" ht="98.25" customHeight="1" x14ac:dyDescent="0.3">
      <c r="A17" s="22" t="s">
        <v>151</v>
      </c>
      <c r="B17" s="23" t="s">
        <v>32</v>
      </c>
      <c r="C17" s="23" t="s">
        <v>152</v>
      </c>
      <c r="D17" s="22" t="s">
        <v>153</v>
      </c>
      <c r="E17" s="22" t="s">
        <v>45</v>
      </c>
      <c r="F17" s="22">
        <v>1</v>
      </c>
      <c r="G17" s="23" t="s">
        <v>92</v>
      </c>
      <c r="H17" s="23" t="s">
        <v>102</v>
      </c>
      <c r="I17" s="24" t="s">
        <v>154</v>
      </c>
      <c r="J17" s="23" t="s">
        <v>104</v>
      </c>
      <c r="K17" s="23" t="s">
        <v>155</v>
      </c>
      <c r="L17" s="22" t="s">
        <v>30</v>
      </c>
      <c r="M17" s="22" t="s">
        <v>97</v>
      </c>
      <c r="N17" s="23" t="s">
        <v>98</v>
      </c>
      <c r="O17" s="22" t="s">
        <v>5</v>
      </c>
    </row>
    <row r="18" spans="1:15" ht="98.25" customHeight="1" x14ac:dyDescent="0.3">
      <c r="A18" s="25" t="s">
        <v>156</v>
      </c>
      <c r="B18" s="26" t="s">
        <v>32</v>
      </c>
      <c r="C18" s="26" t="s">
        <v>157</v>
      </c>
      <c r="D18" s="25" t="s">
        <v>108</v>
      </c>
      <c r="E18" s="25" t="s">
        <v>45</v>
      </c>
      <c r="F18" s="25">
        <v>1</v>
      </c>
      <c r="G18" s="26" t="s">
        <v>92</v>
      </c>
      <c r="H18" s="26" t="s">
        <v>102</v>
      </c>
      <c r="I18" s="27" t="s">
        <v>158</v>
      </c>
      <c r="J18" s="26" t="s">
        <v>140</v>
      </c>
      <c r="K18" s="26" t="s">
        <v>131</v>
      </c>
      <c r="L18" s="25" t="s">
        <v>31</v>
      </c>
      <c r="M18" s="25" t="s">
        <v>141</v>
      </c>
      <c r="N18" s="26" t="s">
        <v>98</v>
      </c>
      <c r="O18" s="25" t="s">
        <v>5</v>
      </c>
    </row>
    <row r="19" spans="1:15" ht="98.25" customHeight="1" x14ac:dyDescent="0.3">
      <c r="A19" s="22" t="s">
        <v>159</v>
      </c>
      <c r="B19" s="23" t="s">
        <v>32</v>
      </c>
      <c r="C19" s="23" t="s">
        <v>160</v>
      </c>
      <c r="D19" s="22" t="s">
        <v>101</v>
      </c>
      <c r="E19" s="22" t="s">
        <v>43</v>
      </c>
      <c r="F19" s="22">
        <v>1</v>
      </c>
      <c r="G19" s="23" t="s">
        <v>92</v>
      </c>
      <c r="H19" s="23" t="s">
        <v>102</v>
      </c>
      <c r="I19" s="24" t="s">
        <v>161</v>
      </c>
      <c r="J19" s="23" t="s">
        <v>104</v>
      </c>
      <c r="K19" s="23" t="s">
        <v>162</v>
      </c>
      <c r="L19" s="22" t="s">
        <v>30</v>
      </c>
      <c r="M19" s="22" t="s">
        <v>97</v>
      </c>
      <c r="N19" s="23" t="s">
        <v>98</v>
      </c>
      <c r="O19" s="22" t="s">
        <v>5</v>
      </c>
    </row>
    <row r="20" spans="1:15" ht="98.25" customHeight="1" x14ac:dyDescent="0.3">
      <c r="A20" s="25" t="s">
        <v>163</v>
      </c>
      <c r="B20" s="26" t="s">
        <v>32</v>
      </c>
      <c r="C20" s="26" t="s">
        <v>164</v>
      </c>
      <c r="D20" s="25" t="s">
        <v>101</v>
      </c>
      <c r="E20" s="25" t="s">
        <v>43</v>
      </c>
      <c r="F20" s="25">
        <v>1</v>
      </c>
      <c r="G20" s="26" t="s">
        <v>92</v>
      </c>
      <c r="H20" s="26" t="s">
        <v>102</v>
      </c>
      <c r="I20" s="27" t="s">
        <v>165</v>
      </c>
      <c r="J20" s="26" t="s">
        <v>166</v>
      </c>
      <c r="K20" s="26" t="s">
        <v>131</v>
      </c>
      <c r="L20" s="25" t="s">
        <v>31</v>
      </c>
      <c r="M20" s="25" t="s">
        <v>132</v>
      </c>
      <c r="N20" s="26" t="s">
        <v>98</v>
      </c>
      <c r="O20" s="25" t="s">
        <v>5</v>
      </c>
    </row>
    <row r="21" spans="1:15" ht="98.25" customHeight="1" x14ac:dyDescent="0.3">
      <c r="A21" s="22" t="s">
        <v>167</v>
      </c>
      <c r="B21" s="23" t="s">
        <v>32</v>
      </c>
      <c r="C21" s="23" t="s">
        <v>168</v>
      </c>
      <c r="D21" s="22" t="s">
        <v>101</v>
      </c>
      <c r="E21" s="22" t="s">
        <v>44</v>
      </c>
      <c r="F21" s="22">
        <v>1</v>
      </c>
      <c r="G21" s="23" t="s">
        <v>92</v>
      </c>
      <c r="H21" s="23" t="s">
        <v>102</v>
      </c>
      <c r="I21" s="24" t="s">
        <v>169</v>
      </c>
      <c r="J21" s="23" t="s">
        <v>104</v>
      </c>
      <c r="K21" s="23" t="s">
        <v>114</v>
      </c>
      <c r="L21" s="22" t="s">
        <v>30</v>
      </c>
      <c r="M21" s="22" t="s">
        <v>97</v>
      </c>
      <c r="N21" s="23" t="s">
        <v>98</v>
      </c>
      <c r="O21" s="22" t="s">
        <v>5</v>
      </c>
    </row>
    <row r="22" spans="1:15" ht="98.25" customHeight="1" x14ac:dyDescent="0.3">
      <c r="A22" s="25" t="s">
        <v>170</v>
      </c>
      <c r="B22" s="26" t="s">
        <v>32</v>
      </c>
      <c r="C22" s="26" t="s">
        <v>171</v>
      </c>
      <c r="D22" s="25" t="s">
        <v>91</v>
      </c>
      <c r="E22" s="25" t="s">
        <v>44</v>
      </c>
      <c r="F22" s="25">
        <v>1</v>
      </c>
      <c r="G22" s="26" t="s">
        <v>92</v>
      </c>
      <c r="H22" s="26" t="s">
        <v>93</v>
      </c>
      <c r="I22" s="27" t="s">
        <v>172</v>
      </c>
      <c r="J22" s="26" t="s">
        <v>173</v>
      </c>
      <c r="K22" s="26" t="s">
        <v>174</v>
      </c>
      <c r="L22" s="25" t="s">
        <v>30</v>
      </c>
      <c r="M22" s="25" t="s">
        <v>97</v>
      </c>
      <c r="N22" s="26" t="s">
        <v>98</v>
      </c>
      <c r="O22" s="25" t="s">
        <v>5</v>
      </c>
    </row>
    <row r="23" spans="1:15" ht="98.25" customHeight="1" x14ac:dyDescent="0.3">
      <c r="A23" s="22" t="s">
        <v>175</v>
      </c>
      <c r="B23" s="23" t="s">
        <v>32</v>
      </c>
      <c r="C23" s="23" t="s">
        <v>176</v>
      </c>
      <c r="D23" s="22" t="s">
        <v>101</v>
      </c>
      <c r="E23" s="22" t="s">
        <v>44</v>
      </c>
      <c r="F23" s="22">
        <v>1</v>
      </c>
      <c r="G23" s="23" t="s">
        <v>92</v>
      </c>
      <c r="H23" s="23" t="s">
        <v>102</v>
      </c>
      <c r="I23" s="24" t="s">
        <v>177</v>
      </c>
      <c r="J23" s="23" t="s">
        <v>104</v>
      </c>
      <c r="K23" s="23" t="s">
        <v>118</v>
      </c>
      <c r="L23" s="22" t="s">
        <v>30</v>
      </c>
      <c r="M23" s="22" t="s">
        <v>97</v>
      </c>
      <c r="N23" s="23" t="s">
        <v>98</v>
      </c>
      <c r="O23" s="22" t="s">
        <v>5</v>
      </c>
    </row>
    <row r="24" spans="1:15" ht="98.25" customHeight="1" x14ac:dyDescent="0.3">
      <c r="A24" s="25" t="s">
        <v>178</v>
      </c>
      <c r="B24" s="26" t="s">
        <v>33</v>
      </c>
      <c r="C24" s="26" t="s">
        <v>179</v>
      </c>
      <c r="D24" s="25" t="s">
        <v>91</v>
      </c>
      <c r="E24" s="25" t="s">
        <v>43</v>
      </c>
      <c r="F24" s="25">
        <v>1</v>
      </c>
      <c r="G24" s="26" t="s">
        <v>92</v>
      </c>
      <c r="H24" s="26" t="s">
        <v>93</v>
      </c>
      <c r="I24" s="27" t="s">
        <v>180</v>
      </c>
      <c r="J24" s="26" t="s">
        <v>181</v>
      </c>
      <c r="K24" s="26" t="s">
        <v>182</v>
      </c>
      <c r="L24" s="25" t="s">
        <v>30</v>
      </c>
      <c r="M24" s="25" t="s">
        <v>97</v>
      </c>
      <c r="N24" s="26" t="s">
        <v>98</v>
      </c>
      <c r="O24" s="25" t="s">
        <v>5</v>
      </c>
    </row>
    <row r="25" spans="1:15" ht="98.25" customHeight="1" x14ac:dyDescent="0.3">
      <c r="A25" s="22" t="s">
        <v>183</v>
      </c>
      <c r="B25" s="23" t="s">
        <v>33</v>
      </c>
      <c r="C25" s="23" t="s">
        <v>184</v>
      </c>
      <c r="D25" s="22" t="s">
        <v>101</v>
      </c>
      <c r="E25" s="22" t="s">
        <v>43</v>
      </c>
      <c r="F25" s="22">
        <v>1</v>
      </c>
      <c r="G25" s="23" t="s">
        <v>92</v>
      </c>
      <c r="H25" s="23" t="s">
        <v>102</v>
      </c>
      <c r="I25" s="24" t="s">
        <v>185</v>
      </c>
      <c r="J25" s="23" t="s">
        <v>104</v>
      </c>
      <c r="K25" s="23" t="s">
        <v>186</v>
      </c>
      <c r="L25" s="22" t="s">
        <v>30</v>
      </c>
      <c r="M25" s="22" t="s">
        <v>97</v>
      </c>
      <c r="N25" s="23" t="s">
        <v>98</v>
      </c>
      <c r="O25" s="22" t="s">
        <v>5</v>
      </c>
    </row>
    <row r="26" spans="1:15" ht="98.25" customHeight="1" x14ac:dyDescent="0.3">
      <c r="A26" s="25" t="s">
        <v>187</v>
      </c>
      <c r="B26" s="26" t="s">
        <v>33</v>
      </c>
      <c r="C26" s="26" t="s">
        <v>188</v>
      </c>
      <c r="D26" s="25" t="s">
        <v>101</v>
      </c>
      <c r="E26" s="25" t="s">
        <v>42</v>
      </c>
      <c r="F26" s="25">
        <v>1</v>
      </c>
      <c r="G26" s="26" t="s">
        <v>92</v>
      </c>
      <c r="H26" s="26" t="s">
        <v>102</v>
      </c>
      <c r="I26" s="27" t="s">
        <v>189</v>
      </c>
      <c r="J26" s="26" t="s">
        <v>104</v>
      </c>
      <c r="K26" s="26" t="s">
        <v>190</v>
      </c>
      <c r="L26" s="25" t="s">
        <v>30</v>
      </c>
      <c r="M26" s="25" t="s">
        <v>97</v>
      </c>
      <c r="N26" s="26" t="s">
        <v>98</v>
      </c>
      <c r="O26" s="25" t="s">
        <v>5</v>
      </c>
    </row>
    <row r="27" spans="1:15" ht="98.25" customHeight="1" x14ac:dyDescent="0.3">
      <c r="A27" s="22" t="s">
        <v>191</v>
      </c>
      <c r="B27" s="23" t="s">
        <v>33</v>
      </c>
      <c r="C27" s="23" t="s">
        <v>192</v>
      </c>
      <c r="D27" s="22" t="s">
        <v>101</v>
      </c>
      <c r="E27" s="22" t="s">
        <v>43</v>
      </c>
      <c r="F27" s="22">
        <v>1</v>
      </c>
      <c r="G27" s="23" t="s">
        <v>92</v>
      </c>
      <c r="H27" s="23" t="s">
        <v>102</v>
      </c>
      <c r="I27" s="24" t="s">
        <v>193</v>
      </c>
      <c r="J27" s="23" t="s">
        <v>194</v>
      </c>
      <c r="K27" s="23" t="s">
        <v>131</v>
      </c>
      <c r="L27" s="22" t="s">
        <v>31</v>
      </c>
      <c r="M27" s="22" t="s">
        <v>195</v>
      </c>
      <c r="N27" s="23" t="s">
        <v>98</v>
      </c>
      <c r="O27" s="22" t="s">
        <v>5</v>
      </c>
    </row>
    <row r="28" spans="1:15" ht="98.25" customHeight="1" x14ac:dyDescent="0.3">
      <c r="A28" s="25" t="s">
        <v>196</v>
      </c>
      <c r="B28" s="26" t="s">
        <v>33</v>
      </c>
      <c r="C28" s="26" t="s">
        <v>197</v>
      </c>
      <c r="D28" s="25" t="s">
        <v>101</v>
      </c>
      <c r="E28" s="25" t="s">
        <v>43</v>
      </c>
      <c r="F28" s="25">
        <v>1</v>
      </c>
      <c r="G28" s="26" t="s">
        <v>92</v>
      </c>
      <c r="H28" s="26" t="s">
        <v>102</v>
      </c>
      <c r="I28" s="27" t="s">
        <v>198</v>
      </c>
      <c r="J28" s="26" t="s">
        <v>199</v>
      </c>
      <c r="K28" s="26" t="s">
        <v>131</v>
      </c>
      <c r="L28" s="25" t="s">
        <v>31</v>
      </c>
      <c r="M28" s="25" t="s">
        <v>195</v>
      </c>
      <c r="N28" s="26" t="s">
        <v>98</v>
      </c>
      <c r="O28" s="25" t="s">
        <v>5</v>
      </c>
    </row>
    <row r="29" spans="1:15" ht="98.25" customHeight="1" x14ac:dyDescent="0.3">
      <c r="A29" s="22" t="s">
        <v>200</v>
      </c>
      <c r="B29" s="23" t="s">
        <v>33</v>
      </c>
      <c r="C29" s="23" t="s">
        <v>201</v>
      </c>
      <c r="D29" s="22" t="s">
        <v>101</v>
      </c>
      <c r="E29" s="22" t="s">
        <v>42</v>
      </c>
      <c r="F29" s="22">
        <v>1</v>
      </c>
      <c r="G29" s="23" t="s">
        <v>92</v>
      </c>
      <c r="H29" s="23" t="s">
        <v>102</v>
      </c>
      <c r="I29" s="24" t="s">
        <v>202</v>
      </c>
      <c r="J29" s="23" t="s">
        <v>104</v>
      </c>
      <c r="K29" s="23" t="s">
        <v>190</v>
      </c>
      <c r="L29" s="22" t="s">
        <v>30</v>
      </c>
      <c r="M29" s="22" t="s">
        <v>97</v>
      </c>
      <c r="N29" s="23" t="s">
        <v>98</v>
      </c>
      <c r="O29" s="22" t="s">
        <v>5</v>
      </c>
    </row>
    <row r="30" spans="1:15" ht="98.25" customHeight="1" x14ac:dyDescent="0.3">
      <c r="A30" s="25" t="s">
        <v>203</v>
      </c>
      <c r="B30" s="26" t="s">
        <v>33</v>
      </c>
      <c r="C30" s="26" t="s">
        <v>204</v>
      </c>
      <c r="D30" s="25" t="s">
        <v>101</v>
      </c>
      <c r="E30" s="25" t="s">
        <v>43</v>
      </c>
      <c r="F30" s="25">
        <v>1</v>
      </c>
      <c r="G30" s="26" t="s">
        <v>92</v>
      </c>
      <c r="H30" s="26" t="s">
        <v>102</v>
      </c>
      <c r="I30" s="27" t="s">
        <v>205</v>
      </c>
      <c r="J30" s="26" t="s">
        <v>104</v>
      </c>
      <c r="K30" s="26" t="s">
        <v>131</v>
      </c>
      <c r="L30" s="25" t="s">
        <v>31</v>
      </c>
      <c r="M30" s="25" t="s">
        <v>195</v>
      </c>
      <c r="N30" s="26" t="s">
        <v>98</v>
      </c>
      <c r="O30" s="25" t="s">
        <v>5</v>
      </c>
    </row>
    <row r="31" spans="1:15" ht="98.25" customHeight="1" x14ac:dyDescent="0.3">
      <c r="A31" s="22" t="s">
        <v>206</v>
      </c>
      <c r="B31" s="23" t="s">
        <v>33</v>
      </c>
      <c r="C31" s="23" t="s">
        <v>207</v>
      </c>
      <c r="D31" s="22" t="s">
        <v>101</v>
      </c>
      <c r="E31" s="22" t="s">
        <v>43</v>
      </c>
      <c r="F31" s="22">
        <v>2</v>
      </c>
      <c r="G31" s="23" t="s">
        <v>92</v>
      </c>
      <c r="H31" s="23" t="s">
        <v>102</v>
      </c>
      <c r="I31" s="24" t="s">
        <v>208</v>
      </c>
      <c r="J31" s="23" t="s">
        <v>104</v>
      </c>
      <c r="K31" s="23" t="s">
        <v>209</v>
      </c>
      <c r="L31" s="22" t="s">
        <v>30</v>
      </c>
      <c r="M31" s="22" t="s">
        <v>97</v>
      </c>
      <c r="N31" s="23" t="s">
        <v>98</v>
      </c>
      <c r="O31" s="22" t="s">
        <v>5</v>
      </c>
    </row>
    <row r="32" spans="1:15" ht="98.25" customHeight="1" x14ac:dyDescent="0.3">
      <c r="A32" s="25" t="s">
        <v>210</v>
      </c>
      <c r="B32" s="26" t="s">
        <v>33</v>
      </c>
      <c r="C32" s="26" t="s">
        <v>211</v>
      </c>
      <c r="D32" s="25" t="s">
        <v>91</v>
      </c>
      <c r="E32" s="25" t="s">
        <v>44</v>
      </c>
      <c r="F32" s="25">
        <v>2</v>
      </c>
      <c r="G32" s="26" t="s">
        <v>92</v>
      </c>
      <c r="H32" s="26" t="s">
        <v>93</v>
      </c>
      <c r="I32" s="27" t="s">
        <v>212</v>
      </c>
      <c r="J32" s="26" t="s">
        <v>213</v>
      </c>
      <c r="K32" s="26" t="s">
        <v>214</v>
      </c>
      <c r="L32" s="25" t="s">
        <v>30</v>
      </c>
      <c r="M32" s="25" t="s">
        <v>97</v>
      </c>
      <c r="N32" s="26" t="s">
        <v>98</v>
      </c>
      <c r="O32" s="25" t="s">
        <v>5</v>
      </c>
    </row>
    <row r="33" spans="1:15" ht="98.25" customHeight="1" x14ac:dyDescent="0.3">
      <c r="A33" s="22" t="s">
        <v>215</v>
      </c>
      <c r="B33" s="23" t="s">
        <v>33</v>
      </c>
      <c r="C33" s="23" t="s">
        <v>216</v>
      </c>
      <c r="D33" s="22" t="s">
        <v>101</v>
      </c>
      <c r="E33" s="22" t="s">
        <v>43</v>
      </c>
      <c r="F33" s="22">
        <v>1</v>
      </c>
      <c r="G33" s="23" t="s">
        <v>92</v>
      </c>
      <c r="H33" s="23" t="s">
        <v>102</v>
      </c>
      <c r="I33" s="24" t="s">
        <v>217</v>
      </c>
      <c r="J33" s="23" t="s">
        <v>104</v>
      </c>
      <c r="K33" s="23" t="s">
        <v>218</v>
      </c>
      <c r="L33" s="22" t="s">
        <v>30</v>
      </c>
      <c r="M33" s="22" t="s">
        <v>97</v>
      </c>
      <c r="N33" s="23" t="s">
        <v>98</v>
      </c>
      <c r="O33" s="22" t="s">
        <v>5</v>
      </c>
    </row>
    <row r="34" spans="1:15" ht="98.25" customHeight="1" x14ac:dyDescent="0.3">
      <c r="A34" s="25" t="s">
        <v>219</v>
      </c>
      <c r="B34" s="26" t="s">
        <v>33</v>
      </c>
      <c r="C34" s="26" t="s">
        <v>220</v>
      </c>
      <c r="D34" s="25" t="s">
        <v>153</v>
      </c>
      <c r="E34" s="25" t="s">
        <v>44</v>
      </c>
      <c r="F34" s="25">
        <v>1</v>
      </c>
      <c r="G34" s="26" t="s">
        <v>92</v>
      </c>
      <c r="H34" s="26" t="s">
        <v>102</v>
      </c>
      <c r="I34" s="27" t="s">
        <v>221</v>
      </c>
      <c r="J34" s="26" t="s">
        <v>104</v>
      </c>
      <c r="K34" s="26" t="s">
        <v>222</v>
      </c>
      <c r="L34" s="25" t="s">
        <v>30</v>
      </c>
      <c r="M34" s="25" t="s">
        <v>97</v>
      </c>
      <c r="N34" s="26" t="s">
        <v>98</v>
      </c>
      <c r="O34" s="25" t="s">
        <v>5</v>
      </c>
    </row>
    <row r="35" spans="1:15" ht="98.25" customHeight="1" x14ac:dyDescent="0.3">
      <c r="A35" s="22" t="s">
        <v>223</v>
      </c>
      <c r="B35" s="23" t="s">
        <v>33</v>
      </c>
      <c r="C35" s="23" t="s">
        <v>224</v>
      </c>
      <c r="D35" s="22" t="s">
        <v>108</v>
      </c>
      <c r="E35" s="22" t="s">
        <v>45</v>
      </c>
      <c r="F35" s="22">
        <v>1</v>
      </c>
      <c r="G35" s="23" t="s">
        <v>92</v>
      </c>
      <c r="H35" s="23" t="s">
        <v>102</v>
      </c>
      <c r="I35" s="24" t="s">
        <v>225</v>
      </c>
      <c r="J35" s="23" t="s">
        <v>226</v>
      </c>
      <c r="K35" s="23" t="s">
        <v>131</v>
      </c>
      <c r="L35" s="22" t="s">
        <v>31</v>
      </c>
      <c r="M35" s="22" t="s">
        <v>146</v>
      </c>
      <c r="N35" s="23" t="s">
        <v>98</v>
      </c>
      <c r="O35" s="22" t="s">
        <v>5</v>
      </c>
    </row>
    <row r="36" spans="1:15" ht="71.25" customHeight="1" x14ac:dyDescent="0.3">
      <c r="A36" s="25" t="s">
        <v>227</v>
      </c>
      <c r="B36" s="26" t="s">
        <v>33</v>
      </c>
      <c r="C36" s="26" t="s">
        <v>228</v>
      </c>
      <c r="D36" s="25" t="s">
        <v>153</v>
      </c>
      <c r="E36" s="25" t="s">
        <v>44</v>
      </c>
      <c r="F36" s="25">
        <v>1</v>
      </c>
      <c r="G36" s="26" t="s">
        <v>92</v>
      </c>
      <c r="H36" s="26" t="s">
        <v>229</v>
      </c>
      <c r="I36" s="27" t="s">
        <v>230</v>
      </c>
      <c r="J36" s="26" t="s">
        <v>231</v>
      </c>
      <c r="K36" s="26" t="s">
        <v>232</v>
      </c>
      <c r="L36" s="25" t="s">
        <v>30</v>
      </c>
      <c r="M36" s="25" t="s">
        <v>97</v>
      </c>
      <c r="N36" s="26" t="s">
        <v>98</v>
      </c>
      <c r="O36" s="25" t="s">
        <v>5</v>
      </c>
    </row>
    <row r="37" spans="1:15" ht="98.25" customHeight="1" x14ac:dyDescent="0.3">
      <c r="A37" s="22" t="s">
        <v>233</v>
      </c>
      <c r="B37" s="23" t="s">
        <v>33</v>
      </c>
      <c r="C37" s="23" t="s">
        <v>234</v>
      </c>
      <c r="D37" s="22" t="s">
        <v>101</v>
      </c>
      <c r="E37" s="22" t="s">
        <v>43</v>
      </c>
      <c r="F37" s="22">
        <v>2</v>
      </c>
      <c r="G37" s="23" t="s">
        <v>92</v>
      </c>
      <c r="H37" s="23" t="s">
        <v>102</v>
      </c>
      <c r="I37" s="24" t="s">
        <v>235</v>
      </c>
      <c r="J37" s="23" t="s">
        <v>104</v>
      </c>
      <c r="K37" s="23" t="s">
        <v>209</v>
      </c>
      <c r="L37" s="22" t="s">
        <v>30</v>
      </c>
      <c r="M37" s="22" t="s">
        <v>97</v>
      </c>
      <c r="N37" s="23" t="s">
        <v>98</v>
      </c>
      <c r="O37" s="22" t="s">
        <v>5</v>
      </c>
    </row>
    <row r="38" spans="1:15" ht="98.25" customHeight="1" x14ac:dyDescent="0.3">
      <c r="A38" s="25" t="s">
        <v>236</v>
      </c>
      <c r="B38" s="26" t="s">
        <v>33</v>
      </c>
      <c r="C38" s="26" t="s">
        <v>237</v>
      </c>
      <c r="D38" s="25" t="s">
        <v>101</v>
      </c>
      <c r="E38" s="25" t="s">
        <v>44</v>
      </c>
      <c r="F38" s="25">
        <v>1</v>
      </c>
      <c r="G38" s="26" t="s">
        <v>92</v>
      </c>
      <c r="H38" s="26" t="s">
        <v>102</v>
      </c>
      <c r="I38" s="27" t="s">
        <v>238</v>
      </c>
      <c r="J38" s="26" t="s">
        <v>104</v>
      </c>
      <c r="K38" s="26" t="s">
        <v>186</v>
      </c>
      <c r="L38" s="25" t="s">
        <v>30</v>
      </c>
      <c r="M38" s="25" t="s">
        <v>97</v>
      </c>
      <c r="N38" s="26" t="s">
        <v>98</v>
      </c>
      <c r="O38" s="25" t="s">
        <v>5</v>
      </c>
    </row>
    <row r="39" spans="1:15" ht="98.25" customHeight="1" x14ac:dyDescent="0.3">
      <c r="A39" s="22" t="s">
        <v>239</v>
      </c>
      <c r="B39" s="23" t="s">
        <v>34</v>
      </c>
      <c r="C39" s="23" t="s">
        <v>240</v>
      </c>
      <c r="D39" s="22" t="s">
        <v>241</v>
      </c>
      <c r="E39" s="22" t="s">
        <v>42</v>
      </c>
      <c r="F39" s="22">
        <v>2</v>
      </c>
      <c r="G39" s="23" t="s">
        <v>92</v>
      </c>
      <c r="H39" s="23" t="s">
        <v>93</v>
      </c>
      <c r="I39" s="24" t="s">
        <v>242</v>
      </c>
      <c r="J39" s="23" t="s">
        <v>243</v>
      </c>
      <c r="K39" s="23" t="s">
        <v>244</v>
      </c>
      <c r="L39" s="22" t="s">
        <v>31</v>
      </c>
      <c r="M39" s="22" t="s">
        <v>245</v>
      </c>
      <c r="N39" s="23" t="s">
        <v>98</v>
      </c>
      <c r="O39" s="22" t="s">
        <v>5</v>
      </c>
    </row>
    <row r="40" spans="1:15" ht="98.25" customHeight="1" x14ac:dyDescent="0.3">
      <c r="A40" s="25" t="s">
        <v>246</v>
      </c>
      <c r="B40" s="26" t="s">
        <v>34</v>
      </c>
      <c r="C40" s="26" t="s">
        <v>247</v>
      </c>
      <c r="D40" s="25" t="s">
        <v>241</v>
      </c>
      <c r="E40" s="25" t="s">
        <v>42</v>
      </c>
      <c r="F40" s="25">
        <v>2</v>
      </c>
      <c r="G40" s="26" t="s">
        <v>92</v>
      </c>
      <c r="H40" s="26" t="s">
        <v>93</v>
      </c>
      <c r="I40" s="27" t="s">
        <v>248</v>
      </c>
      <c r="J40" s="26" t="s">
        <v>249</v>
      </c>
      <c r="K40" s="26" t="s">
        <v>250</v>
      </c>
      <c r="L40" s="25" t="s">
        <v>31</v>
      </c>
      <c r="M40" s="25" t="s">
        <v>245</v>
      </c>
      <c r="N40" s="26" t="s">
        <v>98</v>
      </c>
      <c r="O40" s="25" t="s">
        <v>5</v>
      </c>
    </row>
    <row r="41" spans="1:15" ht="125.25" customHeight="1" x14ac:dyDescent="0.3">
      <c r="A41" s="22" t="s">
        <v>251</v>
      </c>
      <c r="B41" s="23" t="s">
        <v>34</v>
      </c>
      <c r="C41" s="23" t="s">
        <v>252</v>
      </c>
      <c r="D41" s="22" t="s">
        <v>241</v>
      </c>
      <c r="E41" s="22" t="s">
        <v>42</v>
      </c>
      <c r="F41" s="22">
        <v>2</v>
      </c>
      <c r="G41" s="23" t="s">
        <v>92</v>
      </c>
      <c r="H41" s="23" t="s">
        <v>93</v>
      </c>
      <c r="I41" s="24" t="s">
        <v>253</v>
      </c>
      <c r="J41" s="23" t="s">
        <v>254</v>
      </c>
      <c r="K41" s="23" t="s">
        <v>255</v>
      </c>
      <c r="L41" s="22" t="s">
        <v>31</v>
      </c>
      <c r="M41" s="22" t="s">
        <v>245</v>
      </c>
      <c r="N41" s="23" t="s">
        <v>98</v>
      </c>
      <c r="O41" s="22" t="s">
        <v>5</v>
      </c>
    </row>
    <row r="42" spans="1:15" ht="98.25" customHeight="1" x14ac:dyDescent="0.3">
      <c r="A42" s="25" t="s">
        <v>256</v>
      </c>
      <c r="B42" s="26" t="s">
        <v>34</v>
      </c>
      <c r="C42" s="26" t="s">
        <v>257</v>
      </c>
      <c r="D42" s="25" t="s">
        <v>241</v>
      </c>
      <c r="E42" s="25" t="s">
        <v>42</v>
      </c>
      <c r="F42" s="25">
        <v>2</v>
      </c>
      <c r="G42" s="26" t="s">
        <v>92</v>
      </c>
      <c r="H42" s="26" t="s">
        <v>93</v>
      </c>
      <c r="I42" s="27" t="s">
        <v>258</v>
      </c>
      <c r="J42" s="26" t="s">
        <v>259</v>
      </c>
      <c r="K42" s="26" t="s">
        <v>260</v>
      </c>
      <c r="L42" s="25" t="s">
        <v>31</v>
      </c>
      <c r="M42" s="25" t="s">
        <v>245</v>
      </c>
      <c r="N42" s="26" t="s">
        <v>98</v>
      </c>
      <c r="O42" s="25" t="s">
        <v>5</v>
      </c>
    </row>
    <row r="43" spans="1:15" ht="98.25" customHeight="1" x14ac:dyDescent="0.3">
      <c r="A43" s="22" t="s">
        <v>261</v>
      </c>
      <c r="B43" s="23" t="s">
        <v>34</v>
      </c>
      <c r="C43" s="23" t="s">
        <v>262</v>
      </c>
      <c r="D43" s="22" t="s">
        <v>153</v>
      </c>
      <c r="E43" s="22" t="s">
        <v>43</v>
      </c>
      <c r="F43" s="22">
        <v>2</v>
      </c>
      <c r="G43" s="23" t="s">
        <v>92</v>
      </c>
      <c r="H43" s="23" t="s">
        <v>102</v>
      </c>
      <c r="I43" s="24" t="s">
        <v>263</v>
      </c>
      <c r="J43" s="23" t="s">
        <v>104</v>
      </c>
      <c r="K43" s="23" t="s">
        <v>264</v>
      </c>
      <c r="L43" s="22" t="s">
        <v>30</v>
      </c>
      <c r="M43" s="22" t="s">
        <v>97</v>
      </c>
      <c r="N43" s="23" t="s">
        <v>98</v>
      </c>
      <c r="O43" s="22" t="s">
        <v>5</v>
      </c>
    </row>
    <row r="44" spans="1:15" ht="98.25" customHeight="1" x14ac:dyDescent="0.3">
      <c r="A44" s="25" t="s">
        <v>265</v>
      </c>
      <c r="B44" s="26" t="s">
        <v>34</v>
      </c>
      <c r="C44" s="26" t="s">
        <v>266</v>
      </c>
      <c r="D44" s="25" t="s">
        <v>101</v>
      </c>
      <c r="E44" s="25" t="s">
        <v>42</v>
      </c>
      <c r="F44" s="25">
        <v>2</v>
      </c>
      <c r="G44" s="26" t="s">
        <v>92</v>
      </c>
      <c r="H44" s="26" t="s">
        <v>102</v>
      </c>
      <c r="I44" s="27" t="s">
        <v>267</v>
      </c>
      <c r="J44" s="26" t="s">
        <v>104</v>
      </c>
      <c r="K44" s="26" t="s">
        <v>264</v>
      </c>
      <c r="L44" s="25" t="s">
        <v>30</v>
      </c>
      <c r="M44" s="25" t="s">
        <v>97</v>
      </c>
      <c r="N44" s="26" t="s">
        <v>98</v>
      </c>
      <c r="O44" s="25" t="s">
        <v>5</v>
      </c>
    </row>
    <row r="45" spans="1:15" ht="98.25" customHeight="1" x14ac:dyDescent="0.3">
      <c r="A45" s="22" t="s">
        <v>268</v>
      </c>
      <c r="B45" s="23" t="s">
        <v>34</v>
      </c>
      <c r="C45" s="23" t="s">
        <v>269</v>
      </c>
      <c r="D45" s="22" t="s">
        <v>101</v>
      </c>
      <c r="E45" s="22" t="s">
        <v>43</v>
      </c>
      <c r="F45" s="22">
        <v>2</v>
      </c>
      <c r="G45" s="23" t="s">
        <v>92</v>
      </c>
      <c r="H45" s="23" t="s">
        <v>102</v>
      </c>
      <c r="I45" s="24" t="s">
        <v>270</v>
      </c>
      <c r="J45" s="23" t="s">
        <v>271</v>
      </c>
      <c r="K45" s="23" t="s">
        <v>131</v>
      </c>
      <c r="L45" s="22" t="s">
        <v>31</v>
      </c>
      <c r="M45" s="22" t="s">
        <v>272</v>
      </c>
      <c r="N45" s="23" t="s">
        <v>98</v>
      </c>
      <c r="O45" s="22" t="s">
        <v>5</v>
      </c>
    </row>
    <row r="46" spans="1:15" ht="98.25" customHeight="1" x14ac:dyDescent="0.3">
      <c r="A46" s="25" t="s">
        <v>273</v>
      </c>
      <c r="B46" s="26" t="s">
        <v>34</v>
      </c>
      <c r="C46" s="26" t="s">
        <v>274</v>
      </c>
      <c r="D46" s="25" t="s">
        <v>101</v>
      </c>
      <c r="E46" s="25" t="s">
        <v>43</v>
      </c>
      <c r="F46" s="25">
        <v>2</v>
      </c>
      <c r="G46" s="26" t="s">
        <v>92</v>
      </c>
      <c r="H46" s="26" t="s">
        <v>102</v>
      </c>
      <c r="I46" s="27" t="s">
        <v>275</v>
      </c>
      <c r="J46" s="26" t="s">
        <v>104</v>
      </c>
      <c r="K46" s="26" t="s">
        <v>276</v>
      </c>
      <c r="L46" s="25" t="s">
        <v>30</v>
      </c>
      <c r="M46" s="25" t="s">
        <v>97</v>
      </c>
      <c r="N46" s="26" t="s">
        <v>98</v>
      </c>
      <c r="O46" s="25" t="s">
        <v>5</v>
      </c>
    </row>
    <row r="47" spans="1:15" ht="98.25" customHeight="1" x14ac:dyDescent="0.3">
      <c r="A47" s="22" t="s">
        <v>277</v>
      </c>
      <c r="B47" s="23" t="s">
        <v>34</v>
      </c>
      <c r="C47" s="23" t="s">
        <v>278</v>
      </c>
      <c r="D47" s="22" t="s">
        <v>101</v>
      </c>
      <c r="E47" s="22" t="s">
        <v>42</v>
      </c>
      <c r="F47" s="22">
        <v>2</v>
      </c>
      <c r="G47" s="23" t="s">
        <v>92</v>
      </c>
      <c r="H47" s="23" t="s">
        <v>102</v>
      </c>
      <c r="I47" s="24" t="s">
        <v>279</v>
      </c>
      <c r="J47" s="23" t="s">
        <v>104</v>
      </c>
      <c r="K47" s="23" t="s">
        <v>280</v>
      </c>
      <c r="L47" s="22" t="s">
        <v>30</v>
      </c>
      <c r="M47" s="22" t="s">
        <v>97</v>
      </c>
      <c r="N47" s="23" t="s">
        <v>98</v>
      </c>
      <c r="O47" s="22" t="s">
        <v>5</v>
      </c>
    </row>
    <row r="48" spans="1:15" ht="98.25" customHeight="1" x14ac:dyDescent="0.3">
      <c r="A48" s="25" t="s">
        <v>281</v>
      </c>
      <c r="B48" s="26" t="s">
        <v>34</v>
      </c>
      <c r="C48" s="26" t="s">
        <v>282</v>
      </c>
      <c r="D48" s="25" t="s">
        <v>101</v>
      </c>
      <c r="E48" s="25" t="s">
        <v>43</v>
      </c>
      <c r="F48" s="25">
        <v>2</v>
      </c>
      <c r="G48" s="26" t="s">
        <v>92</v>
      </c>
      <c r="H48" s="26" t="s">
        <v>102</v>
      </c>
      <c r="I48" s="27" t="s">
        <v>283</v>
      </c>
      <c r="J48" s="26" t="s">
        <v>104</v>
      </c>
      <c r="K48" s="26" t="s">
        <v>284</v>
      </c>
      <c r="L48" s="25" t="s">
        <v>30</v>
      </c>
      <c r="M48" s="25" t="s">
        <v>97</v>
      </c>
      <c r="N48" s="26" t="s">
        <v>98</v>
      </c>
      <c r="O48" s="25" t="s">
        <v>5</v>
      </c>
    </row>
    <row r="49" spans="1:15" ht="98.25" customHeight="1" x14ac:dyDescent="0.3">
      <c r="A49" s="22" t="s">
        <v>285</v>
      </c>
      <c r="B49" s="23" t="s">
        <v>34</v>
      </c>
      <c r="C49" s="23" t="s">
        <v>286</v>
      </c>
      <c r="D49" s="22" t="s">
        <v>101</v>
      </c>
      <c r="E49" s="22" t="s">
        <v>43</v>
      </c>
      <c r="F49" s="22">
        <v>2</v>
      </c>
      <c r="G49" s="23" t="s">
        <v>92</v>
      </c>
      <c r="H49" s="23" t="s">
        <v>102</v>
      </c>
      <c r="I49" s="24" t="s">
        <v>287</v>
      </c>
      <c r="J49" s="23" t="s">
        <v>104</v>
      </c>
      <c r="K49" s="23" t="s">
        <v>280</v>
      </c>
      <c r="L49" s="22" t="s">
        <v>30</v>
      </c>
      <c r="M49" s="22" t="s">
        <v>97</v>
      </c>
      <c r="N49" s="23" t="s">
        <v>98</v>
      </c>
      <c r="O49" s="22" t="s">
        <v>5</v>
      </c>
    </row>
    <row r="50" spans="1:15" ht="98.25" customHeight="1" x14ac:dyDescent="0.3">
      <c r="A50" s="25" t="s">
        <v>288</v>
      </c>
      <c r="B50" s="26" t="s">
        <v>34</v>
      </c>
      <c r="C50" s="26" t="s">
        <v>289</v>
      </c>
      <c r="D50" s="25" t="s">
        <v>101</v>
      </c>
      <c r="E50" s="25" t="s">
        <v>44</v>
      </c>
      <c r="F50" s="25">
        <v>2</v>
      </c>
      <c r="G50" s="26" t="s">
        <v>92</v>
      </c>
      <c r="H50" s="26" t="s">
        <v>102</v>
      </c>
      <c r="I50" s="27" t="s">
        <v>290</v>
      </c>
      <c r="J50" s="26" t="s">
        <v>104</v>
      </c>
      <c r="K50" s="26" t="s">
        <v>291</v>
      </c>
      <c r="L50" s="25" t="s">
        <v>30</v>
      </c>
      <c r="M50" s="25" t="s">
        <v>97</v>
      </c>
      <c r="N50" s="26" t="s">
        <v>98</v>
      </c>
      <c r="O50" s="25" t="s">
        <v>5</v>
      </c>
    </row>
    <row r="51" spans="1:15" ht="98.25" customHeight="1" x14ac:dyDescent="0.3">
      <c r="A51" s="22" t="s">
        <v>292</v>
      </c>
      <c r="B51" s="23" t="s">
        <v>34</v>
      </c>
      <c r="C51" s="23" t="s">
        <v>293</v>
      </c>
      <c r="D51" s="22" t="s">
        <v>101</v>
      </c>
      <c r="E51" s="22" t="s">
        <v>44</v>
      </c>
      <c r="F51" s="22">
        <v>2</v>
      </c>
      <c r="G51" s="23" t="s">
        <v>92</v>
      </c>
      <c r="H51" s="23" t="s">
        <v>102</v>
      </c>
      <c r="I51" s="24" t="s">
        <v>294</v>
      </c>
      <c r="J51" s="23" t="s">
        <v>104</v>
      </c>
      <c r="K51" s="23" t="s">
        <v>295</v>
      </c>
      <c r="L51" s="22" t="s">
        <v>30</v>
      </c>
      <c r="M51" s="22" t="s">
        <v>97</v>
      </c>
      <c r="N51" s="23" t="s">
        <v>98</v>
      </c>
      <c r="O51" s="22" t="s">
        <v>5</v>
      </c>
    </row>
    <row r="52" spans="1:15" ht="98.25" customHeight="1" x14ac:dyDescent="0.3">
      <c r="A52" s="25" t="s">
        <v>296</v>
      </c>
      <c r="B52" s="26" t="s">
        <v>34</v>
      </c>
      <c r="C52" s="26" t="s">
        <v>297</v>
      </c>
      <c r="D52" s="25" t="s">
        <v>91</v>
      </c>
      <c r="E52" s="25" t="s">
        <v>44</v>
      </c>
      <c r="F52" s="25">
        <v>2</v>
      </c>
      <c r="G52" s="26" t="s">
        <v>92</v>
      </c>
      <c r="H52" s="26" t="s">
        <v>93</v>
      </c>
      <c r="I52" s="27" t="s">
        <v>298</v>
      </c>
      <c r="J52" s="26" t="s">
        <v>299</v>
      </c>
      <c r="K52" s="26" t="s">
        <v>299</v>
      </c>
      <c r="L52" s="25" t="s">
        <v>30</v>
      </c>
      <c r="M52" s="25" t="s">
        <v>97</v>
      </c>
      <c r="N52" s="26" t="s">
        <v>98</v>
      </c>
      <c r="O52" s="25" t="s">
        <v>5</v>
      </c>
    </row>
    <row r="53" spans="1:15" ht="98.25" customHeight="1" x14ac:dyDescent="0.3">
      <c r="A53" s="22" t="s">
        <v>300</v>
      </c>
      <c r="B53" s="23" t="s">
        <v>34</v>
      </c>
      <c r="C53" s="23" t="s">
        <v>301</v>
      </c>
      <c r="D53" s="22" t="s">
        <v>241</v>
      </c>
      <c r="E53" s="22" t="s">
        <v>42</v>
      </c>
      <c r="F53" s="22">
        <v>2</v>
      </c>
      <c r="G53" s="23" t="s">
        <v>92</v>
      </c>
      <c r="H53" s="23" t="s">
        <v>102</v>
      </c>
      <c r="I53" s="24" t="s">
        <v>302</v>
      </c>
      <c r="J53" s="23" t="s">
        <v>303</v>
      </c>
      <c r="K53" s="23" t="s">
        <v>131</v>
      </c>
      <c r="L53" s="22" t="s">
        <v>31</v>
      </c>
      <c r="M53" s="22" t="s">
        <v>304</v>
      </c>
      <c r="N53" s="23" t="s">
        <v>98</v>
      </c>
      <c r="O53" s="22" t="s">
        <v>5</v>
      </c>
    </row>
    <row r="54" spans="1:15" ht="98.25" customHeight="1" x14ac:dyDescent="0.3">
      <c r="A54" s="25" t="s">
        <v>305</v>
      </c>
      <c r="B54" s="26" t="s">
        <v>34</v>
      </c>
      <c r="C54" s="26" t="s">
        <v>306</v>
      </c>
      <c r="D54" s="25" t="s">
        <v>241</v>
      </c>
      <c r="E54" s="25" t="s">
        <v>42</v>
      </c>
      <c r="F54" s="25">
        <v>2</v>
      </c>
      <c r="G54" s="26" t="s">
        <v>92</v>
      </c>
      <c r="H54" s="26" t="s">
        <v>102</v>
      </c>
      <c r="I54" s="27" t="s">
        <v>307</v>
      </c>
      <c r="J54" s="26" t="s">
        <v>308</v>
      </c>
      <c r="K54" s="26" t="s">
        <v>131</v>
      </c>
      <c r="L54" s="25" t="s">
        <v>31</v>
      </c>
      <c r="M54" s="25" t="s">
        <v>304</v>
      </c>
      <c r="N54" s="26" t="s">
        <v>98</v>
      </c>
      <c r="O54" s="25" t="s">
        <v>5</v>
      </c>
    </row>
    <row r="55" spans="1:15" ht="98.25" customHeight="1" x14ac:dyDescent="0.3">
      <c r="A55" s="22" t="s">
        <v>309</v>
      </c>
      <c r="B55" s="23" t="s">
        <v>34</v>
      </c>
      <c r="C55" s="23" t="s">
        <v>310</v>
      </c>
      <c r="D55" s="22" t="s">
        <v>101</v>
      </c>
      <c r="E55" s="22" t="s">
        <v>43</v>
      </c>
      <c r="F55" s="22">
        <v>2</v>
      </c>
      <c r="G55" s="23" t="s">
        <v>92</v>
      </c>
      <c r="H55" s="23" t="s">
        <v>102</v>
      </c>
      <c r="I55" s="24" t="s">
        <v>311</v>
      </c>
      <c r="J55" s="23" t="s">
        <v>312</v>
      </c>
      <c r="K55" s="23" t="s">
        <v>131</v>
      </c>
      <c r="L55" s="22" t="s">
        <v>31</v>
      </c>
      <c r="M55" s="22" t="s">
        <v>313</v>
      </c>
      <c r="N55" s="23" t="s">
        <v>98</v>
      </c>
      <c r="O55" s="22" t="s">
        <v>5</v>
      </c>
    </row>
    <row r="56" spans="1:15" ht="98.25" customHeight="1" x14ac:dyDescent="0.3">
      <c r="A56" s="25" t="s">
        <v>314</v>
      </c>
      <c r="B56" s="26" t="s">
        <v>34</v>
      </c>
      <c r="C56" s="26" t="s">
        <v>315</v>
      </c>
      <c r="D56" s="25" t="s">
        <v>108</v>
      </c>
      <c r="E56" s="25" t="s">
        <v>44</v>
      </c>
      <c r="F56" s="25">
        <v>2</v>
      </c>
      <c r="G56" s="26" t="s">
        <v>92</v>
      </c>
      <c r="H56" s="26" t="s">
        <v>102</v>
      </c>
      <c r="I56" s="27" t="s">
        <v>316</v>
      </c>
      <c r="J56" s="26" t="s">
        <v>104</v>
      </c>
      <c r="K56" s="26" t="s">
        <v>131</v>
      </c>
      <c r="L56" s="25" t="s">
        <v>31</v>
      </c>
      <c r="M56" s="25" t="s">
        <v>317</v>
      </c>
      <c r="N56" s="26" t="s">
        <v>98</v>
      </c>
      <c r="O56" s="25" t="s">
        <v>5</v>
      </c>
    </row>
    <row r="57" spans="1:15" ht="98.25" customHeight="1" x14ac:dyDescent="0.3">
      <c r="A57" s="22" t="s">
        <v>318</v>
      </c>
      <c r="B57" s="23" t="s">
        <v>34</v>
      </c>
      <c r="C57" s="23" t="s">
        <v>319</v>
      </c>
      <c r="D57" s="22" t="s">
        <v>241</v>
      </c>
      <c r="E57" s="22" t="s">
        <v>43</v>
      </c>
      <c r="F57" s="22">
        <v>2</v>
      </c>
      <c r="G57" s="23" t="s">
        <v>92</v>
      </c>
      <c r="H57" s="23" t="s">
        <v>93</v>
      </c>
      <c r="I57" s="24" t="s">
        <v>320</v>
      </c>
      <c r="J57" s="23" t="s">
        <v>321</v>
      </c>
      <c r="K57" s="23" t="s">
        <v>322</v>
      </c>
      <c r="L57" s="22" t="s">
        <v>30</v>
      </c>
      <c r="M57" s="22" t="s">
        <v>97</v>
      </c>
      <c r="N57" s="23" t="s">
        <v>98</v>
      </c>
      <c r="O57" s="22" t="s">
        <v>5</v>
      </c>
    </row>
    <row r="58" spans="1:15" ht="125.25" customHeight="1" x14ac:dyDescent="0.3">
      <c r="A58" s="25" t="s">
        <v>323</v>
      </c>
      <c r="B58" s="26" t="s">
        <v>34</v>
      </c>
      <c r="C58" s="26" t="s">
        <v>324</v>
      </c>
      <c r="D58" s="25" t="s">
        <v>241</v>
      </c>
      <c r="E58" s="25" t="s">
        <v>43</v>
      </c>
      <c r="F58" s="25">
        <v>2</v>
      </c>
      <c r="G58" s="26" t="s">
        <v>92</v>
      </c>
      <c r="H58" s="26" t="s">
        <v>93</v>
      </c>
      <c r="I58" s="27" t="s">
        <v>325</v>
      </c>
      <c r="J58" s="26" t="s">
        <v>326</v>
      </c>
      <c r="K58" s="26" t="s">
        <v>326</v>
      </c>
      <c r="L58" s="25" t="s">
        <v>30</v>
      </c>
      <c r="M58" s="25" t="s">
        <v>97</v>
      </c>
      <c r="N58" s="26" t="s">
        <v>98</v>
      </c>
      <c r="O58" s="25" t="s">
        <v>5</v>
      </c>
    </row>
    <row r="59" spans="1:15" ht="98.25" customHeight="1" x14ac:dyDescent="0.3">
      <c r="A59" s="22" t="s">
        <v>327</v>
      </c>
      <c r="B59" s="23" t="s">
        <v>34</v>
      </c>
      <c r="C59" s="23" t="s">
        <v>328</v>
      </c>
      <c r="D59" s="22" t="s">
        <v>241</v>
      </c>
      <c r="E59" s="22" t="s">
        <v>44</v>
      </c>
      <c r="F59" s="22">
        <v>2</v>
      </c>
      <c r="G59" s="23" t="s">
        <v>92</v>
      </c>
      <c r="H59" s="23" t="s">
        <v>102</v>
      </c>
      <c r="I59" s="24" t="s">
        <v>329</v>
      </c>
      <c r="J59" s="23" t="s">
        <v>330</v>
      </c>
      <c r="K59" s="23" t="s">
        <v>131</v>
      </c>
      <c r="L59" s="22" t="s">
        <v>31</v>
      </c>
      <c r="M59" s="22" t="s">
        <v>331</v>
      </c>
      <c r="N59" s="23" t="s">
        <v>98</v>
      </c>
      <c r="O59" s="22" t="s">
        <v>5</v>
      </c>
    </row>
    <row r="60" spans="1:15" ht="179.25" customHeight="1" x14ac:dyDescent="0.3">
      <c r="A60" s="25" t="s">
        <v>332</v>
      </c>
      <c r="B60" s="26" t="s">
        <v>34</v>
      </c>
      <c r="C60" s="26" t="s">
        <v>333</v>
      </c>
      <c r="D60" s="25" t="s">
        <v>241</v>
      </c>
      <c r="E60" s="25" t="s">
        <v>42</v>
      </c>
      <c r="F60" s="25">
        <v>2</v>
      </c>
      <c r="G60" s="26" t="s">
        <v>334</v>
      </c>
      <c r="H60" s="26" t="s">
        <v>335</v>
      </c>
      <c r="I60" s="27" t="s">
        <v>336</v>
      </c>
      <c r="J60" s="26" t="s">
        <v>337</v>
      </c>
      <c r="K60" s="26" t="s">
        <v>338</v>
      </c>
      <c r="L60" s="25" t="s">
        <v>31</v>
      </c>
      <c r="M60" s="25" t="s">
        <v>245</v>
      </c>
      <c r="N60" s="26" t="s">
        <v>98</v>
      </c>
      <c r="O60" s="25" t="s">
        <v>5</v>
      </c>
    </row>
    <row r="61" spans="1:15" ht="98.25" customHeight="1" x14ac:dyDescent="0.3">
      <c r="A61" s="22" t="s">
        <v>339</v>
      </c>
      <c r="B61" s="23" t="s">
        <v>34</v>
      </c>
      <c r="C61" s="23" t="s">
        <v>340</v>
      </c>
      <c r="D61" s="22" t="s">
        <v>101</v>
      </c>
      <c r="E61" s="22" t="s">
        <v>43</v>
      </c>
      <c r="F61" s="22">
        <v>2</v>
      </c>
      <c r="G61" s="23" t="s">
        <v>92</v>
      </c>
      <c r="H61" s="23" t="s">
        <v>102</v>
      </c>
      <c r="I61" s="24" t="s">
        <v>341</v>
      </c>
      <c r="J61" s="23" t="s">
        <v>104</v>
      </c>
      <c r="K61" s="23" t="s">
        <v>264</v>
      </c>
      <c r="L61" s="22" t="s">
        <v>30</v>
      </c>
      <c r="M61" s="22" t="s">
        <v>97</v>
      </c>
      <c r="N61" s="23" t="s">
        <v>98</v>
      </c>
      <c r="O61" s="22" t="s">
        <v>5</v>
      </c>
    </row>
    <row r="62" spans="1:15" ht="98.25" customHeight="1" x14ac:dyDescent="0.3">
      <c r="A62" s="25" t="s">
        <v>342</v>
      </c>
      <c r="B62" s="26" t="s">
        <v>34</v>
      </c>
      <c r="C62" s="26" t="s">
        <v>343</v>
      </c>
      <c r="D62" s="25" t="s">
        <v>101</v>
      </c>
      <c r="E62" s="25" t="s">
        <v>44</v>
      </c>
      <c r="F62" s="25">
        <v>2</v>
      </c>
      <c r="G62" s="26" t="s">
        <v>92</v>
      </c>
      <c r="H62" s="26" t="s">
        <v>102</v>
      </c>
      <c r="I62" s="27" t="s">
        <v>344</v>
      </c>
      <c r="J62" s="26" t="s">
        <v>104</v>
      </c>
      <c r="K62" s="26" t="s">
        <v>276</v>
      </c>
      <c r="L62" s="25" t="s">
        <v>30</v>
      </c>
      <c r="M62" s="25" t="s">
        <v>97</v>
      </c>
      <c r="N62" s="26" t="s">
        <v>98</v>
      </c>
      <c r="O62" s="25" t="s">
        <v>5</v>
      </c>
    </row>
    <row r="63" spans="1:15" ht="98.25" customHeight="1" x14ac:dyDescent="0.3">
      <c r="A63" s="22" t="s">
        <v>345</v>
      </c>
      <c r="B63" s="23" t="s">
        <v>34</v>
      </c>
      <c r="C63" s="23" t="s">
        <v>346</v>
      </c>
      <c r="D63" s="22" t="s">
        <v>101</v>
      </c>
      <c r="E63" s="22" t="s">
        <v>43</v>
      </c>
      <c r="F63" s="22">
        <v>2</v>
      </c>
      <c r="G63" s="23" t="s">
        <v>92</v>
      </c>
      <c r="H63" s="23" t="s">
        <v>102</v>
      </c>
      <c r="I63" s="24" t="s">
        <v>347</v>
      </c>
      <c r="J63" s="23" t="s">
        <v>104</v>
      </c>
      <c r="K63" s="23" t="s">
        <v>280</v>
      </c>
      <c r="L63" s="22" t="s">
        <v>30</v>
      </c>
      <c r="M63" s="22" t="s">
        <v>97</v>
      </c>
      <c r="N63" s="23" t="s">
        <v>98</v>
      </c>
      <c r="O63" s="22" t="s">
        <v>5</v>
      </c>
    </row>
    <row r="64" spans="1:15" ht="98.25" customHeight="1" x14ac:dyDescent="0.3">
      <c r="A64" s="25" t="s">
        <v>348</v>
      </c>
      <c r="B64" s="26" t="s">
        <v>34</v>
      </c>
      <c r="C64" s="26" t="s">
        <v>349</v>
      </c>
      <c r="D64" s="25" t="s">
        <v>101</v>
      </c>
      <c r="E64" s="25" t="s">
        <v>43</v>
      </c>
      <c r="F64" s="25">
        <v>2</v>
      </c>
      <c r="G64" s="26" t="s">
        <v>92</v>
      </c>
      <c r="H64" s="26" t="s">
        <v>102</v>
      </c>
      <c r="I64" s="27" t="s">
        <v>350</v>
      </c>
      <c r="J64" s="26" t="s">
        <v>104</v>
      </c>
      <c r="K64" s="26" t="s">
        <v>280</v>
      </c>
      <c r="L64" s="25" t="s">
        <v>30</v>
      </c>
      <c r="M64" s="25" t="s">
        <v>97</v>
      </c>
      <c r="N64" s="26" t="s">
        <v>98</v>
      </c>
      <c r="O64" s="25" t="s">
        <v>5</v>
      </c>
    </row>
    <row r="65" spans="1:15" ht="111.75" customHeight="1" x14ac:dyDescent="0.3">
      <c r="A65" s="22" t="s">
        <v>351</v>
      </c>
      <c r="B65" s="23" t="s">
        <v>34</v>
      </c>
      <c r="C65" s="23" t="s">
        <v>352</v>
      </c>
      <c r="D65" s="22" t="s">
        <v>241</v>
      </c>
      <c r="E65" s="22" t="s">
        <v>43</v>
      </c>
      <c r="F65" s="22">
        <v>2</v>
      </c>
      <c r="G65" s="23" t="s">
        <v>353</v>
      </c>
      <c r="H65" s="23" t="s">
        <v>354</v>
      </c>
      <c r="I65" s="24" t="s">
        <v>355</v>
      </c>
      <c r="J65" s="23" t="s">
        <v>356</v>
      </c>
      <c r="K65" s="23" t="s">
        <v>131</v>
      </c>
      <c r="L65" s="22" t="s">
        <v>31</v>
      </c>
      <c r="M65" s="22" t="s">
        <v>357</v>
      </c>
      <c r="N65" s="23" t="s">
        <v>98</v>
      </c>
      <c r="O65" s="22" t="s">
        <v>5</v>
      </c>
    </row>
    <row r="66" spans="1:15" ht="98.25" customHeight="1" x14ac:dyDescent="0.3">
      <c r="A66" s="25" t="s">
        <v>358</v>
      </c>
      <c r="B66" s="26" t="s">
        <v>34</v>
      </c>
      <c r="C66" s="26" t="s">
        <v>359</v>
      </c>
      <c r="D66" s="25" t="s">
        <v>153</v>
      </c>
      <c r="E66" s="25" t="s">
        <v>45</v>
      </c>
      <c r="F66" s="25">
        <v>2</v>
      </c>
      <c r="G66" s="26" t="s">
        <v>92</v>
      </c>
      <c r="H66" s="26" t="s">
        <v>102</v>
      </c>
      <c r="I66" s="27" t="s">
        <v>360</v>
      </c>
      <c r="J66" s="26" t="s">
        <v>104</v>
      </c>
      <c r="K66" s="26" t="s">
        <v>361</v>
      </c>
      <c r="L66" s="25" t="s">
        <v>30</v>
      </c>
      <c r="M66" s="25" t="s">
        <v>97</v>
      </c>
      <c r="N66" s="26" t="s">
        <v>98</v>
      </c>
      <c r="O66" s="25" t="s">
        <v>5</v>
      </c>
    </row>
    <row r="67" spans="1:15" ht="84.75" customHeight="1" x14ac:dyDescent="0.3">
      <c r="A67" s="22" t="s">
        <v>362</v>
      </c>
      <c r="B67" s="23" t="s">
        <v>34</v>
      </c>
      <c r="C67" s="23" t="s">
        <v>363</v>
      </c>
      <c r="D67" s="22" t="s">
        <v>91</v>
      </c>
      <c r="E67" s="22" t="s">
        <v>45</v>
      </c>
      <c r="F67" s="22">
        <v>2</v>
      </c>
      <c r="G67" s="23" t="s">
        <v>92</v>
      </c>
      <c r="H67" s="23" t="s">
        <v>229</v>
      </c>
      <c r="I67" s="24" t="s">
        <v>364</v>
      </c>
      <c r="J67" s="23" t="s">
        <v>231</v>
      </c>
      <c r="K67" s="23" t="s">
        <v>232</v>
      </c>
      <c r="L67" s="22" t="s">
        <v>30</v>
      </c>
      <c r="M67" s="22" t="s">
        <v>97</v>
      </c>
      <c r="N67" s="23" t="s">
        <v>98</v>
      </c>
      <c r="O67" s="22" t="s">
        <v>5</v>
      </c>
    </row>
    <row r="68" spans="1:15" ht="71.25" customHeight="1" x14ac:dyDescent="0.3">
      <c r="A68" s="25" t="s">
        <v>365</v>
      </c>
      <c r="B68" s="26" t="s">
        <v>35</v>
      </c>
      <c r="C68" s="26" t="s">
        <v>366</v>
      </c>
      <c r="D68" s="25" t="s">
        <v>91</v>
      </c>
      <c r="E68" s="25" t="s">
        <v>44</v>
      </c>
      <c r="F68" s="25">
        <v>1</v>
      </c>
      <c r="G68" s="26" t="s">
        <v>92</v>
      </c>
      <c r="H68" s="26" t="s">
        <v>229</v>
      </c>
      <c r="I68" s="27" t="s">
        <v>367</v>
      </c>
      <c r="J68" s="26" t="s">
        <v>231</v>
      </c>
      <c r="K68" s="26" t="s">
        <v>232</v>
      </c>
      <c r="L68" s="25" t="s">
        <v>30</v>
      </c>
      <c r="M68" s="25" t="s">
        <v>97</v>
      </c>
      <c r="N68" s="26" t="s">
        <v>98</v>
      </c>
      <c r="O68" s="25" t="s">
        <v>5</v>
      </c>
    </row>
    <row r="69" spans="1:15" ht="98.25" customHeight="1" x14ac:dyDescent="0.3">
      <c r="A69" s="22" t="s">
        <v>368</v>
      </c>
      <c r="B69" s="23" t="s">
        <v>35</v>
      </c>
      <c r="C69" s="23" t="s">
        <v>369</v>
      </c>
      <c r="D69" s="22" t="s">
        <v>101</v>
      </c>
      <c r="E69" s="22" t="s">
        <v>44</v>
      </c>
      <c r="F69" s="22">
        <v>1</v>
      </c>
      <c r="G69" s="23" t="s">
        <v>92</v>
      </c>
      <c r="H69" s="23" t="s">
        <v>102</v>
      </c>
      <c r="I69" s="24" t="s">
        <v>370</v>
      </c>
      <c r="J69" s="23" t="s">
        <v>104</v>
      </c>
      <c r="K69" s="23" t="s">
        <v>371</v>
      </c>
      <c r="L69" s="22" t="s">
        <v>30</v>
      </c>
      <c r="M69" s="22" t="s">
        <v>97</v>
      </c>
      <c r="N69" s="23" t="s">
        <v>98</v>
      </c>
      <c r="O69" s="22" t="s">
        <v>5</v>
      </c>
    </row>
    <row r="70" spans="1:15" ht="98.25" customHeight="1" x14ac:dyDescent="0.3">
      <c r="A70" s="25" t="s">
        <v>372</v>
      </c>
      <c r="B70" s="26" t="s">
        <v>35</v>
      </c>
      <c r="C70" s="26" t="s">
        <v>373</v>
      </c>
      <c r="D70" s="25" t="s">
        <v>101</v>
      </c>
      <c r="E70" s="25" t="s">
        <v>44</v>
      </c>
      <c r="F70" s="25">
        <v>1</v>
      </c>
      <c r="G70" s="26" t="s">
        <v>92</v>
      </c>
      <c r="H70" s="26" t="s">
        <v>102</v>
      </c>
      <c r="I70" s="27" t="s">
        <v>374</v>
      </c>
      <c r="J70" s="26" t="s">
        <v>104</v>
      </c>
      <c r="K70" s="26" t="s">
        <v>375</v>
      </c>
      <c r="L70" s="25" t="s">
        <v>30</v>
      </c>
      <c r="M70" s="25" t="s">
        <v>97</v>
      </c>
      <c r="N70" s="26" t="s">
        <v>98</v>
      </c>
      <c r="O70" s="25" t="s">
        <v>5</v>
      </c>
    </row>
    <row r="71" spans="1:15" ht="98.25" customHeight="1" x14ac:dyDescent="0.3">
      <c r="A71" s="22" t="s">
        <v>376</v>
      </c>
      <c r="B71" s="23" t="s">
        <v>35</v>
      </c>
      <c r="C71" s="23" t="s">
        <v>377</v>
      </c>
      <c r="D71" s="22" t="s">
        <v>108</v>
      </c>
      <c r="E71" s="22" t="s">
        <v>45</v>
      </c>
      <c r="F71" s="22">
        <v>1</v>
      </c>
      <c r="G71" s="23" t="s">
        <v>92</v>
      </c>
      <c r="H71" s="23" t="s">
        <v>102</v>
      </c>
      <c r="I71" s="24" t="s">
        <v>378</v>
      </c>
      <c r="J71" s="23" t="s">
        <v>104</v>
      </c>
      <c r="K71" s="23" t="s">
        <v>131</v>
      </c>
      <c r="L71" s="22" t="s">
        <v>31</v>
      </c>
      <c r="M71" s="22" t="s">
        <v>141</v>
      </c>
      <c r="N71" s="23" t="s">
        <v>98</v>
      </c>
      <c r="O71" s="22" t="s">
        <v>5</v>
      </c>
    </row>
    <row r="72" spans="1:15" ht="98.25" customHeight="1" x14ac:dyDescent="0.3">
      <c r="A72" s="25" t="s">
        <v>379</v>
      </c>
      <c r="B72" s="26" t="s">
        <v>35</v>
      </c>
      <c r="C72" s="26" t="s">
        <v>380</v>
      </c>
      <c r="D72" s="25" t="s">
        <v>101</v>
      </c>
      <c r="E72" s="25" t="s">
        <v>44</v>
      </c>
      <c r="F72" s="25">
        <v>2</v>
      </c>
      <c r="G72" s="26" t="s">
        <v>92</v>
      </c>
      <c r="H72" s="26" t="s">
        <v>102</v>
      </c>
      <c r="I72" s="27" t="s">
        <v>381</v>
      </c>
      <c r="J72" s="26" t="s">
        <v>104</v>
      </c>
      <c r="K72" s="26" t="s">
        <v>280</v>
      </c>
      <c r="L72" s="25" t="s">
        <v>30</v>
      </c>
      <c r="M72" s="25" t="s">
        <v>97</v>
      </c>
      <c r="N72" s="26" t="s">
        <v>98</v>
      </c>
      <c r="O72" s="25" t="s">
        <v>5</v>
      </c>
    </row>
    <row r="73" spans="1:15" ht="98.25" customHeight="1" x14ac:dyDescent="0.3">
      <c r="A73" s="22" t="s">
        <v>382</v>
      </c>
      <c r="B73" s="23" t="s">
        <v>35</v>
      </c>
      <c r="C73" s="23" t="s">
        <v>383</v>
      </c>
      <c r="D73" s="22" t="s">
        <v>101</v>
      </c>
      <c r="E73" s="22" t="s">
        <v>44</v>
      </c>
      <c r="F73" s="22">
        <v>1</v>
      </c>
      <c r="G73" s="23" t="s">
        <v>92</v>
      </c>
      <c r="H73" s="23" t="s">
        <v>102</v>
      </c>
      <c r="I73" s="24" t="s">
        <v>384</v>
      </c>
      <c r="J73" s="23" t="s">
        <v>104</v>
      </c>
      <c r="K73" s="23" t="s">
        <v>371</v>
      </c>
      <c r="L73" s="22" t="s">
        <v>30</v>
      </c>
      <c r="M73" s="22" t="s">
        <v>97</v>
      </c>
      <c r="N73" s="23" t="s">
        <v>98</v>
      </c>
      <c r="O73" s="22" t="s">
        <v>5</v>
      </c>
    </row>
    <row r="74" spans="1:15" ht="98.25" customHeight="1" x14ac:dyDescent="0.3">
      <c r="A74" s="25" t="s">
        <v>385</v>
      </c>
      <c r="B74" s="26" t="s">
        <v>35</v>
      </c>
      <c r="C74" s="26" t="s">
        <v>386</v>
      </c>
      <c r="D74" s="25" t="s">
        <v>91</v>
      </c>
      <c r="E74" s="25" t="s">
        <v>44</v>
      </c>
      <c r="F74" s="25">
        <v>2</v>
      </c>
      <c r="G74" s="26" t="s">
        <v>92</v>
      </c>
      <c r="H74" s="26" t="s">
        <v>93</v>
      </c>
      <c r="I74" s="27" t="s">
        <v>387</v>
      </c>
      <c r="J74" s="26" t="s">
        <v>388</v>
      </c>
      <c r="K74" s="26" t="s">
        <v>388</v>
      </c>
      <c r="L74" s="25" t="s">
        <v>30</v>
      </c>
      <c r="M74" s="25" t="s">
        <v>97</v>
      </c>
      <c r="N74" s="26" t="s">
        <v>98</v>
      </c>
      <c r="O74" s="25" t="s">
        <v>5</v>
      </c>
    </row>
    <row r="75" spans="1:15" ht="98.25" customHeight="1" x14ac:dyDescent="0.3">
      <c r="A75" s="22" t="s">
        <v>389</v>
      </c>
      <c r="B75" s="23" t="s">
        <v>35</v>
      </c>
      <c r="C75" s="23" t="s">
        <v>390</v>
      </c>
      <c r="D75" s="22" t="s">
        <v>101</v>
      </c>
      <c r="E75" s="22" t="s">
        <v>44</v>
      </c>
      <c r="F75" s="22">
        <v>2</v>
      </c>
      <c r="G75" s="23" t="s">
        <v>92</v>
      </c>
      <c r="H75" s="23" t="s">
        <v>102</v>
      </c>
      <c r="I75" s="24" t="s">
        <v>391</v>
      </c>
      <c r="J75" s="23" t="s">
        <v>104</v>
      </c>
      <c r="K75" s="23" t="s">
        <v>280</v>
      </c>
      <c r="L75" s="22" t="s">
        <v>30</v>
      </c>
      <c r="M75" s="22" t="s">
        <v>97</v>
      </c>
      <c r="N75" s="23" t="s">
        <v>98</v>
      </c>
      <c r="O75" s="22" t="s">
        <v>5</v>
      </c>
    </row>
    <row r="76" spans="1:15" ht="98.25" customHeight="1" x14ac:dyDescent="0.3">
      <c r="A76" s="25" t="s">
        <v>392</v>
      </c>
      <c r="B76" s="26" t="s">
        <v>35</v>
      </c>
      <c r="C76" s="26" t="s">
        <v>393</v>
      </c>
      <c r="D76" s="25" t="s">
        <v>153</v>
      </c>
      <c r="E76" s="25" t="s">
        <v>45</v>
      </c>
      <c r="F76" s="25">
        <v>1</v>
      </c>
      <c r="G76" s="26" t="s">
        <v>92</v>
      </c>
      <c r="H76" s="26" t="s">
        <v>102</v>
      </c>
      <c r="I76" s="27" t="s">
        <v>394</v>
      </c>
      <c r="J76" s="26" t="s">
        <v>104</v>
      </c>
      <c r="K76" s="26" t="s">
        <v>395</v>
      </c>
      <c r="L76" s="25" t="s">
        <v>30</v>
      </c>
      <c r="M76" s="25" t="s">
        <v>97</v>
      </c>
      <c r="N76" s="26" t="s">
        <v>98</v>
      </c>
      <c r="O76" s="25" t="s">
        <v>5</v>
      </c>
    </row>
    <row r="77" spans="1:15" ht="71.25" customHeight="1" x14ac:dyDescent="0.3">
      <c r="A77" s="22" t="s">
        <v>396</v>
      </c>
      <c r="B77" s="23" t="s">
        <v>36</v>
      </c>
      <c r="C77" s="23" t="s">
        <v>397</v>
      </c>
      <c r="D77" s="22" t="s">
        <v>91</v>
      </c>
      <c r="E77" s="22" t="s">
        <v>43</v>
      </c>
      <c r="F77" s="22">
        <v>2</v>
      </c>
      <c r="G77" s="23" t="s">
        <v>92</v>
      </c>
      <c r="H77" s="23" t="s">
        <v>229</v>
      </c>
      <c r="I77" s="24" t="s">
        <v>398</v>
      </c>
      <c r="J77" s="23" t="s">
        <v>231</v>
      </c>
      <c r="K77" s="23" t="s">
        <v>232</v>
      </c>
      <c r="L77" s="22" t="s">
        <v>30</v>
      </c>
      <c r="M77" s="22" t="s">
        <v>97</v>
      </c>
      <c r="N77" s="23" t="s">
        <v>98</v>
      </c>
      <c r="O77" s="22" t="s">
        <v>5</v>
      </c>
    </row>
    <row r="78" spans="1:15" ht="98.25" customHeight="1" x14ac:dyDescent="0.3">
      <c r="A78" s="25" t="s">
        <v>399</v>
      </c>
      <c r="B78" s="26" t="s">
        <v>36</v>
      </c>
      <c r="C78" s="26" t="s">
        <v>400</v>
      </c>
      <c r="D78" s="25" t="s">
        <v>153</v>
      </c>
      <c r="E78" s="25" t="s">
        <v>44</v>
      </c>
      <c r="F78" s="25">
        <v>2</v>
      </c>
      <c r="G78" s="26" t="s">
        <v>92</v>
      </c>
      <c r="H78" s="26" t="s">
        <v>102</v>
      </c>
      <c r="I78" s="27" t="s">
        <v>401</v>
      </c>
      <c r="J78" s="26" t="s">
        <v>104</v>
      </c>
      <c r="K78" s="26" t="s">
        <v>402</v>
      </c>
      <c r="L78" s="25" t="s">
        <v>30</v>
      </c>
      <c r="M78" s="25" t="s">
        <v>97</v>
      </c>
      <c r="N78" s="26" t="s">
        <v>98</v>
      </c>
      <c r="O78" s="25" t="s">
        <v>5</v>
      </c>
    </row>
    <row r="79" spans="1:15" ht="98.25" customHeight="1" x14ac:dyDescent="0.3">
      <c r="A79" s="22" t="s">
        <v>403</v>
      </c>
      <c r="B79" s="23" t="s">
        <v>36</v>
      </c>
      <c r="C79" s="23" t="s">
        <v>404</v>
      </c>
      <c r="D79" s="22" t="s">
        <v>101</v>
      </c>
      <c r="E79" s="22" t="s">
        <v>43</v>
      </c>
      <c r="F79" s="22">
        <v>2</v>
      </c>
      <c r="G79" s="23" t="s">
        <v>92</v>
      </c>
      <c r="H79" s="23" t="s">
        <v>102</v>
      </c>
      <c r="I79" s="24" t="s">
        <v>405</v>
      </c>
      <c r="J79" s="23" t="s">
        <v>104</v>
      </c>
      <c r="K79" s="23" t="s">
        <v>402</v>
      </c>
      <c r="L79" s="22" t="s">
        <v>30</v>
      </c>
      <c r="M79" s="22" t="s">
        <v>97</v>
      </c>
      <c r="N79" s="23" t="s">
        <v>98</v>
      </c>
      <c r="O79" s="22" t="s">
        <v>5</v>
      </c>
    </row>
    <row r="80" spans="1:15" ht="98.25" customHeight="1" x14ac:dyDescent="0.3">
      <c r="A80" s="25" t="s">
        <v>406</v>
      </c>
      <c r="B80" s="26" t="s">
        <v>36</v>
      </c>
      <c r="C80" s="26" t="s">
        <v>407</v>
      </c>
      <c r="D80" s="25" t="s">
        <v>101</v>
      </c>
      <c r="E80" s="25" t="s">
        <v>43</v>
      </c>
      <c r="F80" s="25">
        <v>2</v>
      </c>
      <c r="G80" s="26" t="s">
        <v>92</v>
      </c>
      <c r="H80" s="26" t="s">
        <v>102</v>
      </c>
      <c r="I80" s="27" t="s">
        <v>408</v>
      </c>
      <c r="J80" s="26" t="s">
        <v>409</v>
      </c>
      <c r="K80" s="26" t="s">
        <v>131</v>
      </c>
      <c r="L80" s="25" t="s">
        <v>31</v>
      </c>
      <c r="M80" s="25" t="s">
        <v>410</v>
      </c>
      <c r="N80" s="26" t="s">
        <v>98</v>
      </c>
      <c r="O80" s="25" t="s">
        <v>5</v>
      </c>
    </row>
    <row r="81" spans="1:15" ht="98.25" customHeight="1" x14ac:dyDescent="0.3">
      <c r="A81" s="22" t="s">
        <v>411</v>
      </c>
      <c r="B81" s="23" t="s">
        <v>36</v>
      </c>
      <c r="C81" s="23" t="s">
        <v>412</v>
      </c>
      <c r="D81" s="22" t="s">
        <v>241</v>
      </c>
      <c r="E81" s="22" t="s">
        <v>43</v>
      </c>
      <c r="F81" s="22">
        <v>2</v>
      </c>
      <c r="G81" s="23" t="s">
        <v>92</v>
      </c>
      <c r="H81" s="23" t="s">
        <v>102</v>
      </c>
      <c r="I81" s="24" t="s">
        <v>413</v>
      </c>
      <c r="J81" s="23" t="s">
        <v>414</v>
      </c>
      <c r="K81" s="23" t="s">
        <v>131</v>
      </c>
      <c r="L81" s="22" t="s">
        <v>31</v>
      </c>
      <c r="M81" s="22" t="s">
        <v>415</v>
      </c>
      <c r="N81" s="23" t="s">
        <v>98</v>
      </c>
      <c r="O81" s="22" t="s">
        <v>5</v>
      </c>
    </row>
    <row r="82" spans="1:15" ht="71.25" customHeight="1" x14ac:dyDescent="0.3">
      <c r="A82" s="25" t="s">
        <v>416</v>
      </c>
      <c r="B82" s="26" t="s">
        <v>36</v>
      </c>
      <c r="C82" s="26" t="s">
        <v>417</v>
      </c>
      <c r="D82" s="25" t="s">
        <v>153</v>
      </c>
      <c r="E82" s="25" t="s">
        <v>43</v>
      </c>
      <c r="F82" s="25">
        <v>2</v>
      </c>
      <c r="G82" s="26" t="s">
        <v>92</v>
      </c>
      <c r="H82" s="26" t="s">
        <v>229</v>
      </c>
      <c r="I82" s="27" t="s">
        <v>418</v>
      </c>
      <c r="J82" s="26" t="s">
        <v>231</v>
      </c>
      <c r="K82" s="26" t="s">
        <v>232</v>
      </c>
      <c r="L82" s="25" t="s">
        <v>30</v>
      </c>
      <c r="M82" s="25" t="s">
        <v>97</v>
      </c>
      <c r="N82" s="26" t="s">
        <v>98</v>
      </c>
      <c r="O82" s="25" t="s">
        <v>5</v>
      </c>
    </row>
    <row r="83" spans="1:15" ht="98.25" customHeight="1" x14ac:dyDescent="0.3">
      <c r="A83" s="22" t="s">
        <v>419</v>
      </c>
      <c r="B83" s="23" t="s">
        <v>36</v>
      </c>
      <c r="C83" s="23" t="s">
        <v>420</v>
      </c>
      <c r="D83" s="22" t="s">
        <v>101</v>
      </c>
      <c r="E83" s="22" t="s">
        <v>44</v>
      </c>
      <c r="F83" s="22">
        <v>2</v>
      </c>
      <c r="G83" s="23" t="s">
        <v>92</v>
      </c>
      <c r="H83" s="23" t="s">
        <v>102</v>
      </c>
      <c r="I83" s="24" t="s">
        <v>421</v>
      </c>
      <c r="J83" s="23" t="s">
        <v>104</v>
      </c>
      <c r="K83" s="23" t="s">
        <v>422</v>
      </c>
      <c r="L83" s="22" t="s">
        <v>30</v>
      </c>
      <c r="M83" s="22" t="s">
        <v>97</v>
      </c>
      <c r="N83" s="23" t="s">
        <v>98</v>
      </c>
      <c r="O83" s="22" t="s">
        <v>5</v>
      </c>
    </row>
    <row r="84" spans="1:15" ht="98.25" customHeight="1" x14ac:dyDescent="0.3">
      <c r="A84" s="25" t="s">
        <v>423</v>
      </c>
      <c r="B84" s="26" t="s">
        <v>36</v>
      </c>
      <c r="C84" s="26" t="s">
        <v>424</v>
      </c>
      <c r="D84" s="25" t="s">
        <v>101</v>
      </c>
      <c r="E84" s="25" t="s">
        <v>43</v>
      </c>
      <c r="F84" s="25">
        <v>2</v>
      </c>
      <c r="G84" s="26" t="s">
        <v>92</v>
      </c>
      <c r="H84" s="26" t="s">
        <v>102</v>
      </c>
      <c r="I84" s="27" t="s">
        <v>425</v>
      </c>
      <c r="J84" s="26" t="s">
        <v>104</v>
      </c>
      <c r="K84" s="26" t="s">
        <v>426</v>
      </c>
      <c r="L84" s="25" t="s">
        <v>30</v>
      </c>
      <c r="M84" s="25" t="s">
        <v>97</v>
      </c>
      <c r="N84" s="26" t="s">
        <v>98</v>
      </c>
      <c r="O84" s="25" t="s">
        <v>5</v>
      </c>
    </row>
    <row r="85" spans="1:15" ht="98.25" customHeight="1" x14ac:dyDescent="0.3">
      <c r="A85" s="22" t="s">
        <v>427</v>
      </c>
      <c r="B85" s="23" t="s">
        <v>36</v>
      </c>
      <c r="C85" s="23" t="s">
        <v>428</v>
      </c>
      <c r="D85" s="22" t="s">
        <v>241</v>
      </c>
      <c r="E85" s="22" t="s">
        <v>44</v>
      </c>
      <c r="F85" s="22">
        <v>2</v>
      </c>
      <c r="G85" s="23" t="s">
        <v>92</v>
      </c>
      <c r="H85" s="23" t="s">
        <v>102</v>
      </c>
      <c r="I85" s="24" t="s">
        <v>429</v>
      </c>
      <c r="J85" s="23" t="s">
        <v>430</v>
      </c>
      <c r="K85" s="23" t="s">
        <v>131</v>
      </c>
      <c r="L85" s="22" t="s">
        <v>31</v>
      </c>
      <c r="M85" s="22" t="s">
        <v>431</v>
      </c>
      <c r="N85" s="23" t="s">
        <v>98</v>
      </c>
      <c r="O85" s="22" t="s">
        <v>5</v>
      </c>
    </row>
    <row r="86" spans="1:15" ht="98.25" customHeight="1" x14ac:dyDescent="0.3">
      <c r="A86" s="25" t="s">
        <v>432</v>
      </c>
      <c r="B86" s="26" t="s">
        <v>36</v>
      </c>
      <c r="C86" s="26" t="s">
        <v>433</v>
      </c>
      <c r="D86" s="25" t="s">
        <v>241</v>
      </c>
      <c r="E86" s="25" t="s">
        <v>44</v>
      </c>
      <c r="F86" s="25">
        <v>2</v>
      </c>
      <c r="G86" s="26" t="s">
        <v>92</v>
      </c>
      <c r="H86" s="26" t="s">
        <v>102</v>
      </c>
      <c r="I86" s="27" t="s">
        <v>434</v>
      </c>
      <c r="J86" s="26" t="s">
        <v>104</v>
      </c>
      <c r="K86" s="26" t="s">
        <v>131</v>
      </c>
      <c r="L86" s="25" t="s">
        <v>31</v>
      </c>
      <c r="M86" s="25" t="s">
        <v>431</v>
      </c>
      <c r="N86" s="26" t="s">
        <v>98</v>
      </c>
      <c r="O86" s="25" t="s">
        <v>5</v>
      </c>
    </row>
    <row r="87" spans="1:15" ht="98.25" customHeight="1" x14ac:dyDescent="0.3">
      <c r="A87" s="22" t="s">
        <v>435</v>
      </c>
      <c r="B87" s="23" t="s">
        <v>36</v>
      </c>
      <c r="C87" s="23" t="s">
        <v>436</v>
      </c>
      <c r="D87" s="22" t="s">
        <v>241</v>
      </c>
      <c r="E87" s="22" t="s">
        <v>45</v>
      </c>
      <c r="F87" s="22">
        <v>2</v>
      </c>
      <c r="G87" s="23" t="s">
        <v>92</v>
      </c>
      <c r="H87" s="23" t="s">
        <v>102</v>
      </c>
      <c r="I87" s="24" t="s">
        <v>437</v>
      </c>
      <c r="J87" s="23" t="s">
        <v>438</v>
      </c>
      <c r="K87" s="23" t="s">
        <v>131</v>
      </c>
      <c r="L87" s="22" t="s">
        <v>31</v>
      </c>
      <c r="M87" s="22" t="s">
        <v>431</v>
      </c>
      <c r="N87" s="23" t="s">
        <v>98</v>
      </c>
      <c r="O87" s="22" t="s">
        <v>5</v>
      </c>
    </row>
    <row r="88" spans="1:15" ht="111.75" customHeight="1" x14ac:dyDescent="0.3">
      <c r="A88" s="25" t="s">
        <v>439</v>
      </c>
      <c r="B88" s="26" t="s">
        <v>36</v>
      </c>
      <c r="C88" s="26" t="s">
        <v>440</v>
      </c>
      <c r="D88" s="25" t="s">
        <v>241</v>
      </c>
      <c r="E88" s="25" t="s">
        <v>42</v>
      </c>
      <c r="F88" s="25">
        <v>2</v>
      </c>
      <c r="G88" s="26" t="s">
        <v>92</v>
      </c>
      <c r="H88" s="26" t="s">
        <v>93</v>
      </c>
      <c r="I88" s="27" t="s">
        <v>441</v>
      </c>
      <c r="J88" s="26" t="s">
        <v>442</v>
      </c>
      <c r="K88" s="26" t="s">
        <v>443</v>
      </c>
      <c r="L88" s="25" t="s">
        <v>31</v>
      </c>
      <c r="M88" s="25" t="s">
        <v>444</v>
      </c>
      <c r="N88" s="26" t="s">
        <v>98</v>
      </c>
      <c r="O88" s="25" t="s">
        <v>5</v>
      </c>
    </row>
    <row r="89" spans="1:15" ht="111.75" customHeight="1" x14ac:dyDescent="0.3">
      <c r="A89" s="22" t="s">
        <v>445</v>
      </c>
      <c r="B89" s="23" t="s">
        <v>36</v>
      </c>
      <c r="C89" s="23" t="s">
        <v>446</v>
      </c>
      <c r="D89" s="22" t="s">
        <v>241</v>
      </c>
      <c r="E89" s="22" t="s">
        <v>42</v>
      </c>
      <c r="F89" s="22">
        <v>2</v>
      </c>
      <c r="G89" s="23" t="s">
        <v>92</v>
      </c>
      <c r="H89" s="23" t="s">
        <v>93</v>
      </c>
      <c r="I89" s="24" t="s">
        <v>447</v>
      </c>
      <c r="J89" s="23" t="s">
        <v>448</v>
      </c>
      <c r="K89" s="23" t="s">
        <v>449</v>
      </c>
      <c r="L89" s="22" t="s">
        <v>31</v>
      </c>
      <c r="M89" s="22" t="s">
        <v>444</v>
      </c>
      <c r="N89" s="23" t="s">
        <v>98</v>
      </c>
      <c r="O89" s="22" t="s">
        <v>5</v>
      </c>
    </row>
    <row r="90" spans="1:15" ht="98.25" customHeight="1" x14ac:dyDescent="0.3">
      <c r="A90" s="25" t="s">
        <v>450</v>
      </c>
      <c r="B90" s="26" t="s">
        <v>36</v>
      </c>
      <c r="C90" s="26" t="s">
        <v>451</v>
      </c>
      <c r="D90" s="25" t="s">
        <v>241</v>
      </c>
      <c r="E90" s="25" t="s">
        <v>43</v>
      </c>
      <c r="F90" s="25">
        <v>2</v>
      </c>
      <c r="G90" s="26" t="s">
        <v>92</v>
      </c>
      <c r="H90" s="26" t="s">
        <v>102</v>
      </c>
      <c r="I90" s="27" t="s">
        <v>452</v>
      </c>
      <c r="J90" s="26" t="s">
        <v>104</v>
      </c>
      <c r="K90" s="26" t="s">
        <v>131</v>
      </c>
      <c r="L90" s="25" t="s">
        <v>31</v>
      </c>
      <c r="M90" s="25" t="s">
        <v>415</v>
      </c>
      <c r="N90" s="26" t="s">
        <v>98</v>
      </c>
      <c r="O90" s="25" t="s">
        <v>5</v>
      </c>
    </row>
    <row r="91" spans="1:15" ht="98.25" customHeight="1" x14ac:dyDescent="0.3">
      <c r="A91" s="22" t="s">
        <v>453</v>
      </c>
      <c r="B91" s="23" t="s">
        <v>36</v>
      </c>
      <c r="C91" s="23" t="s">
        <v>454</v>
      </c>
      <c r="D91" s="22" t="s">
        <v>101</v>
      </c>
      <c r="E91" s="22" t="s">
        <v>44</v>
      </c>
      <c r="F91" s="22">
        <v>2</v>
      </c>
      <c r="G91" s="23" t="s">
        <v>92</v>
      </c>
      <c r="H91" s="23" t="s">
        <v>102</v>
      </c>
      <c r="I91" s="24" t="s">
        <v>455</v>
      </c>
      <c r="J91" s="23" t="s">
        <v>104</v>
      </c>
      <c r="K91" s="23" t="s">
        <v>402</v>
      </c>
      <c r="L91" s="22" t="s">
        <v>30</v>
      </c>
      <c r="M91" s="22" t="s">
        <v>97</v>
      </c>
      <c r="N91" s="23" t="s">
        <v>98</v>
      </c>
      <c r="O91" s="22" t="s">
        <v>5</v>
      </c>
    </row>
    <row r="92" spans="1:15" ht="71.25" customHeight="1" x14ac:dyDescent="0.3">
      <c r="A92" s="25" t="s">
        <v>456</v>
      </c>
      <c r="B92" s="26" t="s">
        <v>37</v>
      </c>
      <c r="C92" s="26" t="s">
        <v>457</v>
      </c>
      <c r="D92" s="25" t="s">
        <v>91</v>
      </c>
      <c r="E92" s="25" t="s">
        <v>44</v>
      </c>
      <c r="F92" s="25">
        <v>1</v>
      </c>
      <c r="G92" s="26" t="s">
        <v>92</v>
      </c>
      <c r="H92" s="26" t="s">
        <v>229</v>
      </c>
      <c r="I92" s="27" t="s">
        <v>458</v>
      </c>
      <c r="J92" s="26" t="s">
        <v>231</v>
      </c>
      <c r="K92" s="26" t="s">
        <v>232</v>
      </c>
      <c r="L92" s="25" t="s">
        <v>30</v>
      </c>
      <c r="M92" s="25" t="s">
        <v>97</v>
      </c>
      <c r="N92" s="26" t="s">
        <v>98</v>
      </c>
      <c r="O92" s="25" t="s">
        <v>5</v>
      </c>
    </row>
    <row r="93" spans="1:15" ht="98.25" customHeight="1" x14ac:dyDescent="0.3">
      <c r="A93" s="22" t="s">
        <v>459</v>
      </c>
      <c r="B93" s="23" t="s">
        <v>37</v>
      </c>
      <c r="C93" s="23" t="s">
        <v>460</v>
      </c>
      <c r="D93" s="22" t="s">
        <v>101</v>
      </c>
      <c r="E93" s="22" t="s">
        <v>44</v>
      </c>
      <c r="F93" s="22">
        <v>1</v>
      </c>
      <c r="G93" s="23" t="s">
        <v>92</v>
      </c>
      <c r="H93" s="23" t="s">
        <v>102</v>
      </c>
      <c r="I93" s="24" t="s">
        <v>461</v>
      </c>
      <c r="J93" s="23" t="s">
        <v>104</v>
      </c>
      <c r="K93" s="23" t="s">
        <v>462</v>
      </c>
      <c r="L93" s="22" t="s">
        <v>30</v>
      </c>
      <c r="M93" s="22" t="s">
        <v>97</v>
      </c>
      <c r="N93" s="23" t="s">
        <v>98</v>
      </c>
      <c r="O93" s="22" t="s">
        <v>5</v>
      </c>
    </row>
    <row r="94" spans="1:15" ht="98.25" customHeight="1" x14ac:dyDescent="0.3">
      <c r="A94" s="25" t="s">
        <v>463</v>
      </c>
      <c r="B94" s="26" t="s">
        <v>37</v>
      </c>
      <c r="C94" s="26" t="s">
        <v>464</v>
      </c>
      <c r="D94" s="25" t="s">
        <v>101</v>
      </c>
      <c r="E94" s="25" t="s">
        <v>44</v>
      </c>
      <c r="F94" s="25">
        <v>1</v>
      </c>
      <c r="G94" s="26" t="s">
        <v>92</v>
      </c>
      <c r="H94" s="26" t="s">
        <v>102</v>
      </c>
      <c r="I94" s="27" t="s">
        <v>465</v>
      </c>
      <c r="J94" s="26" t="s">
        <v>466</v>
      </c>
      <c r="K94" s="26" t="s">
        <v>131</v>
      </c>
      <c r="L94" s="25" t="s">
        <v>31</v>
      </c>
      <c r="M94" s="25" t="s">
        <v>467</v>
      </c>
      <c r="N94" s="26" t="s">
        <v>98</v>
      </c>
      <c r="O94" s="25" t="s">
        <v>5</v>
      </c>
    </row>
    <row r="95" spans="1:15" ht="71.25" customHeight="1" x14ac:dyDescent="0.3">
      <c r="A95" s="22" t="s">
        <v>468</v>
      </c>
      <c r="B95" s="23" t="s">
        <v>37</v>
      </c>
      <c r="C95" s="23" t="s">
        <v>469</v>
      </c>
      <c r="D95" s="22" t="s">
        <v>91</v>
      </c>
      <c r="E95" s="22" t="s">
        <v>44</v>
      </c>
      <c r="F95" s="22">
        <v>2</v>
      </c>
      <c r="G95" s="23" t="s">
        <v>92</v>
      </c>
      <c r="H95" s="23" t="s">
        <v>229</v>
      </c>
      <c r="I95" s="24" t="s">
        <v>470</v>
      </c>
      <c r="J95" s="23" t="s">
        <v>231</v>
      </c>
      <c r="K95" s="23" t="s">
        <v>232</v>
      </c>
      <c r="L95" s="22" t="s">
        <v>30</v>
      </c>
      <c r="M95" s="22" t="s">
        <v>97</v>
      </c>
      <c r="N95" s="23" t="s">
        <v>98</v>
      </c>
      <c r="O95" s="22" t="s">
        <v>5</v>
      </c>
    </row>
    <row r="96" spans="1:15" ht="98.25" customHeight="1" x14ac:dyDescent="0.3">
      <c r="A96" s="25" t="s">
        <v>471</v>
      </c>
      <c r="B96" s="26" t="s">
        <v>37</v>
      </c>
      <c r="C96" s="26" t="s">
        <v>472</v>
      </c>
      <c r="D96" s="25" t="s">
        <v>101</v>
      </c>
      <c r="E96" s="25" t="s">
        <v>43</v>
      </c>
      <c r="F96" s="25">
        <v>2</v>
      </c>
      <c r="G96" s="26" t="s">
        <v>92</v>
      </c>
      <c r="H96" s="26" t="s">
        <v>102</v>
      </c>
      <c r="I96" s="27" t="s">
        <v>473</v>
      </c>
      <c r="J96" s="26" t="s">
        <v>104</v>
      </c>
      <c r="K96" s="26" t="s">
        <v>474</v>
      </c>
      <c r="L96" s="25" t="s">
        <v>30</v>
      </c>
      <c r="M96" s="25" t="s">
        <v>97</v>
      </c>
      <c r="N96" s="26" t="s">
        <v>98</v>
      </c>
      <c r="O96" s="25" t="s">
        <v>5</v>
      </c>
    </row>
    <row r="97" spans="1:15" ht="98.25" customHeight="1" x14ac:dyDescent="0.3">
      <c r="A97" s="22" t="s">
        <v>475</v>
      </c>
      <c r="B97" s="23" t="s">
        <v>37</v>
      </c>
      <c r="C97" s="23" t="s">
        <v>476</v>
      </c>
      <c r="D97" s="22" t="s">
        <v>101</v>
      </c>
      <c r="E97" s="22" t="s">
        <v>43</v>
      </c>
      <c r="F97" s="22">
        <v>2</v>
      </c>
      <c r="G97" s="23" t="s">
        <v>92</v>
      </c>
      <c r="H97" s="23" t="s">
        <v>102</v>
      </c>
      <c r="I97" s="24" t="s">
        <v>477</v>
      </c>
      <c r="J97" s="23" t="s">
        <v>104</v>
      </c>
      <c r="K97" s="23" t="s">
        <v>478</v>
      </c>
      <c r="L97" s="22" t="s">
        <v>30</v>
      </c>
      <c r="M97" s="22" t="s">
        <v>97</v>
      </c>
      <c r="N97" s="23" t="s">
        <v>98</v>
      </c>
      <c r="O97" s="22" t="s">
        <v>5</v>
      </c>
    </row>
    <row r="98" spans="1:15" ht="98.25" customHeight="1" x14ac:dyDescent="0.3">
      <c r="A98" s="25" t="s">
        <v>479</v>
      </c>
      <c r="B98" s="26" t="s">
        <v>37</v>
      </c>
      <c r="C98" s="26" t="s">
        <v>480</v>
      </c>
      <c r="D98" s="25" t="s">
        <v>101</v>
      </c>
      <c r="E98" s="25" t="s">
        <v>44</v>
      </c>
      <c r="F98" s="25">
        <v>1</v>
      </c>
      <c r="G98" s="26" t="s">
        <v>92</v>
      </c>
      <c r="H98" s="26" t="s">
        <v>102</v>
      </c>
      <c r="I98" s="27" t="s">
        <v>481</v>
      </c>
      <c r="J98" s="26" t="s">
        <v>104</v>
      </c>
      <c r="K98" s="26" t="s">
        <v>114</v>
      </c>
      <c r="L98" s="25" t="s">
        <v>30</v>
      </c>
      <c r="M98" s="25" t="s">
        <v>97</v>
      </c>
      <c r="N98" s="26" t="s">
        <v>98</v>
      </c>
      <c r="O98" s="25" t="s">
        <v>5</v>
      </c>
    </row>
    <row r="99" spans="1:15" ht="98.25" customHeight="1" x14ac:dyDescent="0.3">
      <c r="A99" s="22" t="s">
        <v>482</v>
      </c>
      <c r="B99" s="23" t="s">
        <v>37</v>
      </c>
      <c r="C99" s="23" t="s">
        <v>483</v>
      </c>
      <c r="D99" s="22" t="s">
        <v>101</v>
      </c>
      <c r="E99" s="22" t="s">
        <v>43</v>
      </c>
      <c r="F99" s="22">
        <v>2</v>
      </c>
      <c r="G99" s="23" t="s">
        <v>92</v>
      </c>
      <c r="H99" s="23" t="s">
        <v>102</v>
      </c>
      <c r="I99" s="24" t="s">
        <v>484</v>
      </c>
      <c r="J99" s="23" t="s">
        <v>104</v>
      </c>
      <c r="K99" s="23" t="s">
        <v>474</v>
      </c>
      <c r="L99" s="22" t="s">
        <v>30</v>
      </c>
      <c r="M99" s="22" t="s">
        <v>97</v>
      </c>
      <c r="N99" s="23" t="s">
        <v>98</v>
      </c>
      <c r="O99" s="22" t="s">
        <v>5</v>
      </c>
    </row>
    <row r="100" spans="1:15" ht="98.25" customHeight="1" x14ac:dyDescent="0.3">
      <c r="A100" s="25" t="s">
        <v>485</v>
      </c>
      <c r="B100" s="26" t="s">
        <v>37</v>
      </c>
      <c r="C100" s="26" t="s">
        <v>486</v>
      </c>
      <c r="D100" s="25" t="s">
        <v>101</v>
      </c>
      <c r="E100" s="25" t="s">
        <v>44</v>
      </c>
      <c r="F100" s="25">
        <v>1</v>
      </c>
      <c r="G100" s="26" t="s">
        <v>92</v>
      </c>
      <c r="H100" s="26" t="s">
        <v>102</v>
      </c>
      <c r="I100" s="27" t="s">
        <v>487</v>
      </c>
      <c r="J100" s="26" t="s">
        <v>104</v>
      </c>
      <c r="K100" s="26" t="s">
        <v>462</v>
      </c>
      <c r="L100" s="25" t="s">
        <v>30</v>
      </c>
      <c r="M100" s="25" t="s">
        <v>97</v>
      </c>
      <c r="N100" s="26" t="s">
        <v>98</v>
      </c>
      <c r="O100" s="25" t="s">
        <v>5</v>
      </c>
    </row>
    <row r="101" spans="1:15" ht="71.25" customHeight="1" x14ac:dyDescent="0.3">
      <c r="A101" s="22" t="s">
        <v>488</v>
      </c>
      <c r="B101" s="23" t="s">
        <v>37</v>
      </c>
      <c r="C101" s="23" t="s">
        <v>489</v>
      </c>
      <c r="D101" s="22" t="s">
        <v>241</v>
      </c>
      <c r="E101" s="22" t="s">
        <v>44</v>
      </c>
      <c r="F101" s="22">
        <v>2</v>
      </c>
      <c r="G101" s="23" t="s">
        <v>92</v>
      </c>
      <c r="H101" s="23" t="s">
        <v>490</v>
      </c>
      <c r="I101" s="24" t="s">
        <v>491</v>
      </c>
      <c r="J101" s="23" t="s">
        <v>492</v>
      </c>
      <c r="K101" s="23" t="s">
        <v>492</v>
      </c>
      <c r="L101" s="22" t="s">
        <v>19</v>
      </c>
      <c r="M101" s="22" t="s">
        <v>493</v>
      </c>
      <c r="N101" s="23" t="s">
        <v>98</v>
      </c>
      <c r="O101" s="22" t="s">
        <v>5</v>
      </c>
    </row>
    <row r="102" spans="1:15" ht="98.25" customHeight="1" x14ac:dyDescent="0.3">
      <c r="A102" s="25" t="s">
        <v>494</v>
      </c>
      <c r="B102" s="26" t="s">
        <v>38</v>
      </c>
      <c r="C102" s="26" t="s">
        <v>495</v>
      </c>
      <c r="D102" s="25" t="s">
        <v>91</v>
      </c>
      <c r="E102" s="25" t="s">
        <v>44</v>
      </c>
      <c r="F102" s="25">
        <v>1</v>
      </c>
      <c r="G102" s="26" t="s">
        <v>92</v>
      </c>
      <c r="H102" s="26" t="s">
        <v>93</v>
      </c>
      <c r="I102" s="27" t="s">
        <v>496</v>
      </c>
      <c r="J102" s="26" t="s">
        <v>497</v>
      </c>
      <c r="K102" s="26" t="s">
        <v>497</v>
      </c>
      <c r="L102" s="25" t="s">
        <v>30</v>
      </c>
      <c r="M102" s="25" t="s">
        <v>97</v>
      </c>
      <c r="N102" s="26" t="s">
        <v>98</v>
      </c>
      <c r="O102" s="25" t="s">
        <v>5</v>
      </c>
    </row>
    <row r="103" spans="1:15" ht="98.25" customHeight="1" x14ac:dyDescent="0.3">
      <c r="A103" s="22" t="s">
        <v>498</v>
      </c>
      <c r="B103" s="23" t="s">
        <v>38</v>
      </c>
      <c r="C103" s="23" t="s">
        <v>499</v>
      </c>
      <c r="D103" s="22" t="s">
        <v>500</v>
      </c>
      <c r="E103" s="22" t="s">
        <v>44</v>
      </c>
      <c r="F103" s="22">
        <v>1</v>
      </c>
      <c r="G103" s="23" t="s">
        <v>92</v>
      </c>
      <c r="H103" s="23" t="s">
        <v>93</v>
      </c>
      <c r="I103" s="24" t="s">
        <v>501</v>
      </c>
      <c r="J103" s="23" t="s">
        <v>502</v>
      </c>
      <c r="K103" s="23" t="s">
        <v>502</v>
      </c>
      <c r="L103" s="22" t="s">
        <v>30</v>
      </c>
      <c r="M103" s="22" t="s">
        <v>97</v>
      </c>
      <c r="N103" s="23" t="s">
        <v>98</v>
      </c>
      <c r="O103" s="22" t="s">
        <v>5</v>
      </c>
    </row>
    <row r="104" spans="1:15" ht="98.25" customHeight="1" x14ac:dyDescent="0.3">
      <c r="A104" s="25" t="s">
        <v>503</v>
      </c>
      <c r="B104" s="26" t="s">
        <v>38</v>
      </c>
      <c r="C104" s="26" t="s">
        <v>504</v>
      </c>
      <c r="D104" s="25" t="s">
        <v>500</v>
      </c>
      <c r="E104" s="25" t="s">
        <v>43</v>
      </c>
      <c r="F104" s="25">
        <v>1</v>
      </c>
      <c r="G104" s="26" t="s">
        <v>92</v>
      </c>
      <c r="H104" s="26" t="s">
        <v>93</v>
      </c>
      <c r="I104" s="27" t="s">
        <v>505</v>
      </c>
      <c r="J104" s="26" t="s">
        <v>506</v>
      </c>
      <c r="K104" s="26" t="s">
        <v>506</v>
      </c>
      <c r="L104" s="25" t="s">
        <v>30</v>
      </c>
      <c r="M104" s="25" t="s">
        <v>97</v>
      </c>
      <c r="N104" s="26" t="s">
        <v>98</v>
      </c>
      <c r="O104" s="25" t="s">
        <v>5</v>
      </c>
    </row>
    <row r="105" spans="1:15" ht="71.25" customHeight="1" x14ac:dyDescent="0.3">
      <c r="A105" s="22" t="s">
        <v>507</v>
      </c>
      <c r="B105" s="23" t="s">
        <v>38</v>
      </c>
      <c r="C105" s="23" t="s">
        <v>508</v>
      </c>
      <c r="D105" s="22" t="s">
        <v>509</v>
      </c>
      <c r="E105" s="22" t="s">
        <v>44</v>
      </c>
      <c r="F105" s="22">
        <v>1</v>
      </c>
      <c r="G105" s="23" t="s">
        <v>92</v>
      </c>
      <c r="H105" s="23" t="s">
        <v>229</v>
      </c>
      <c r="I105" s="24" t="s">
        <v>510</v>
      </c>
      <c r="J105" s="23" t="s">
        <v>511</v>
      </c>
      <c r="K105" s="23" t="s">
        <v>512</v>
      </c>
      <c r="L105" s="22" t="s">
        <v>30</v>
      </c>
      <c r="M105" s="22" t="s">
        <v>97</v>
      </c>
      <c r="N105" s="23" t="s">
        <v>98</v>
      </c>
      <c r="O105" s="22" t="s">
        <v>5</v>
      </c>
    </row>
    <row r="106" spans="1:15" ht="98.25" customHeight="1" x14ac:dyDescent="0.3">
      <c r="A106" s="25" t="s">
        <v>513</v>
      </c>
      <c r="B106" s="26" t="s">
        <v>38</v>
      </c>
      <c r="C106" s="26" t="s">
        <v>514</v>
      </c>
      <c r="D106" s="25" t="s">
        <v>500</v>
      </c>
      <c r="E106" s="25" t="s">
        <v>42</v>
      </c>
      <c r="F106" s="25">
        <v>2</v>
      </c>
      <c r="G106" s="26" t="s">
        <v>92</v>
      </c>
      <c r="H106" s="26" t="s">
        <v>93</v>
      </c>
      <c r="I106" s="27" t="s">
        <v>515</v>
      </c>
      <c r="J106" s="26" t="s">
        <v>516</v>
      </c>
      <c r="K106" s="26" t="s">
        <v>517</v>
      </c>
      <c r="L106" s="25" t="s">
        <v>31</v>
      </c>
      <c r="M106" s="25" t="s">
        <v>518</v>
      </c>
      <c r="N106" s="26" t="s">
        <v>98</v>
      </c>
      <c r="O106" s="25" t="s">
        <v>5</v>
      </c>
    </row>
    <row r="107" spans="1:15" ht="98.25" customHeight="1" x14ac:dyDescent="0.3">
      <c r="A107" s="22" t="s">
        <v>519</v>
      </c>
      <c r="B107" s="23" t="s">
        <v>38</v>
      </c>
      <c r="C107" s="23" t="s">
        <v>520</v>
      </c>
      <c r="D107" s="22" t="s">
        <v>500</v>
      </c>
      <c r="E107" s="22" t="s">
        <v>45</v>
      </c>
      <c r="F107" s="22">
        <v>1</v>
      </c>
      <c r="G107" s="23" t="s">
        <v>92</v>
      </c>
      <c r="H107" s="23" t="s">
        <v>93</v>
      </c>
      <c r="I107" s="24" t="s">
        <v>521</v>
      </c>
      <c r="J107" s="23" t="s">
        <v>522</v>
      </c>
      <c r="K107" s="23" t="s">
        <v>522</v>
      </c>
      <c r="L107" s="22" t="s">
        <v>30</v>
      </c>
      <c r="M107" s="22" t="s">
        <v>97</v>
      </c>
      <c r="N107" s="23" t="s">
        <v>98</v>
      </c>
      <c r="O107" s="22" t="s">
        <v>5</v>
      </c>
    </row>
  </sheetData>
  <autoFilter ref="A4:O107" xr:uid="{00000000-0009-0000-0000-000001000000}"/>
  <conditionalFormatting sqref="E5:E167">
    <cfRule type="cellIs" dxfId="11" priority="6" operator="equal">
      <formula>"Critical"</formula>
    </cfRule>
    <cfRule type="cellIs" dxfId="10" priority="7" operator="equal">
      <formula>"High"</formula>
    </cfRule>
    <cfRule type="cellIs" dxfId="9" priority="8" operator="equal">
      <formula>"Medium"</formula>
    </cfRule>
    <cfRule type="cellIs" dxfId="8" priority="9" operator="equal">
      <formula>"Low"</formula>
    </cfRule>
  </conditionalFormatting>
  <conditionalFormatting sqref="L5:L167">
    <cfRule type="cellIs" dxfId="7" priority="2" operator="equal">
      <formula>"Pass"</formula>
    </cfRule>
    <cfRule type="cellIs" dxfId="6" priority="3" operator="equal">
      <formula>"Fail"</formula>
    </cfRule>
    <cfRule type="cellIs" dxfId="5" priority="4" operator="equal">
      <formula>"Blocked"</formula>
    </cfRule>
    <cfRule type="cellIs" dxfId="4" priority="5" operator="equal">
      <formula>"Not Run"</formula>
    </cfRule>
  </conditionalFormatting>
  <dataValidations count="1">
    <dataValidation type="list" allowBlank="1" sqref="L5:L167" xr:uid="{00000000-0002-0000-0100-000000000000}">
      <formula1>"Pass,Fail,Blocked,Not Run"</formula1>
      <formula2>0</formula2>
    </dataValidation>
  </dataValidations>
  <pageMargins left="0.75" right="0.75" top="1" bottom="1" header="0.511811023622047" footer="0.511811023622047"/>
  <pageSetup fitToHeight="0" orientation="landscape"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C00000"/>
    <pageSetUpPr fitToPage="1"/>
  </sheetPr>
  <dimension ref="A1:P22"/>
  <sheetViews>
    <sheetView showGridLines="0" zoomScaleNormal="100" workbookViewId="0">
      <pane xSplit="2" ySplit="4" topLeftCell="C5" activePane="bottomRight" state="frozen"/>
      <selection pane="topRight" activeCell="C1" sqref="C1"/>
      <selection pane="bottomLeft" activeCell="A5" sqref="A5"/>
      <selection pane="bottomRight"/>
    </sheetView>
  </sheetViews>
  <sheetFormatPr defaultColWidth="8.6640625" defaultRowHeight="14.4" x14ac:dyDescent="0.3"/>
  <cols>
    <col min="1" max="1" width="10" customWidth="1"/>
    <col min="2" max="2" width="38" customWidth="1"/>
    <col min="3" max="3" width="10" customWidth="1"/>
    <col min="4" max="4" width="9" customWidth="1"/>
    <col min="5" max="5" width="17" customWidth="1"/>
    <col min="6" max="6" width="16" customWidth="1"/>
    <col min="7" max="7" width="17" customWidth="1"/>
    <col min="8" max="8" width="44" customWidth="1"/>
    <col min="9" max="9" width="58" customWidth="1"/>
    <col min="10" max="10" width="32" customWidth="1"/>
    <col min="11" max="11" width="44" customWidth="1"/>
    <col min="12" max="12" width="32" customWidth="1"/>
    <col min="13" max="13" width="40" customWidth="1"/>
    <col min="14" max="14" width="10" customWidth="1"/>
    <col min="15" max="15" width="19" customWidth="1"/>
    <col min="16" max="16" width="12" customWidth="1"/>
  </cols>
  <sheetData>
    <row r="1" spans="1:16" ht="30" customHeight="1" x14ac:dyDescent="0.4">
      <c r="A1" s="2" t="s">
        <v>523</v>
      </c>
      <c r="B1" s="4"/>
      <c r="C1" s="4"/>
      <c r="D1" s="4"/>
      <c r="E1" s="4"/>
      <c r="F1" s="4"/>
      <c r="G1" s="4"/>
      <c r="H1" s="4"/>
      <c r="I1" s="4"/>
      <c r="J1" s="4"/>
      <c r="K1" s="4"/>
      <c r="L1" s="4"/>
      <c r="M1" s="4"/>
      <c r="N1" s="4"/>
      <c r="O1" s="4"/>
      <c r="P1" s="4"/>
    </row>
    <row r="2" spans="1:16" ht="19.5" customHeight="1" x14ac:dyDescent="0.3">
      <c r="A2" s="1" t="s">
        <v>524</v>
      </c>
      <c r="B2" s="6"/>
      <c r="C2" s="6"/>
      <c r="D2" s="6"/>
      <c r="E2" s="6"/>
      <c r="F2" s="6"/>
      <c r="G2" s="6"/>
      <c r="H2" s="6"/>
      <c r="I2" s="6"/>
      <c r="J2" s="6"/>
      <c r="K2" s="6"/>
      <c r="L2" s="6"/>
      <c r="M2" s="6"/>
      <c r="N2" s="6"/>
      <c r="O2" s="6"/>
      <c r="P2" s="6"/>
    </row>
    <row r="4" spans="1:16" ht="31.5" customHeight="1" x14ac:dyDescent="0.3">
      <c r="A4" s="11" t="s">
        <v>86</v>
      </c>
      <c r="B4" s="11" t="s">
        <v>525</v>
      </c>
      <c r="C4" s="11" t="s">
        <v>40</v>
      </c>
      <c r="D4" s="11" t="s">
        <v>78</v>
      </c>
      <c r="E4" s="11" t="s">
        <v>28</v>
      </c>
      <c r="F4" s="11" t="s">
        <v>526</v>
      </c>
      <c r="G4" s="11" t="s">
        <v>527</v>
      </c>
      <c r="H4" s="11" t="s">
        <v>528</v>
      </c>
      <c r="I4" s="11" t="s">
        <v>529</v>
      </c>
      <c r="J4" s="11" t="s">
        <v>83</v>
      </c>
      <c r="K4" s="11" t="s">
        <v>84</v>
      </c>
      <c r="L4" s="11" t="s">
        <v>530</v>
      </c>
      <c r="M4" s="11" t="s">
        <v>531</v>
      </c>
      <c r="N4" s="11" t="s">
        <v>85</v>
      </c>
      <c r="O4" s="11" t="s">
        <v>532</v>
      </c>
      <c r="P4" s="11" t="s">
        <v>533</v>
      </c>
    </row>
    <row r="5" spans="1:16" ht="152.25" customHeight="1" x14ac:dyDescent="0.3">
      <c r="A5" s="22" t="s">
        <v>245</v>
      </c>
      <c r="B5" s="23" t="s">
        <v>534</v>
      </c>
      <c r="C5" s="22" t="s">
        <v>42</v>
      </c>
      <c r="D5" s="22" t="s">
        <v>535</v>
      </c>
      <c r="E5" s="23" t="s">
        <v>34</v>
      </c>
      <c r="F5" s="23" t="s">
        <v>536</v>
      </c>
      <c r="G5" s="23" t="s">
        <v>537</v>
      </c>
      <c r="H5" s="23" t="s">
        <v>538</v>
      </c>
      <c r="I5" s="24" t="s">
        <v>539</v>
      </c>
      <c r="J5" s="23" t="s">
        <v>540</v>
      </c>
      <c r="K5" s="23" t="s">
        <v>541</v>
      </c>
      <c r="L5" s="23" t="s">
        <v>542</v>
      </c>
      <c r="M5" s="23" t="s">
        <v>543</v>
      </c>
      <c r="N5" s="22" t="s">
        <v>544</v>
      </c>
      <c r="O5" s="23" t="s">
        <v>98</v>
      </c>
      <c r="P5" s="22" t="s">
        <v>5</v>
      </c>
    </row>
    <row r="6" spans="1:16" ht="111.75" customHeight="1" x14ac:dyDescent="0.3">
      <c r="A6" s="25" t="s">
        <v>304</v>
      </c>
      <c r="B6" s="26" t="s">
        <v>545</v>
      </c>
      <c r="C6" s="25" t="s">
        <v>42</v>
      </c>
      <c r="D6" s="25" t="s">
        <v>535</v>
      </c>
      <c r="E6" s="26" t="s">
        <v>34</v>
      </c>
      <c r="F6" s="26" t="s">
        <v>546</v>
      </c>
      <c r="G6" s="26" t="s">
        <v>547</v>
      </c>
      <c r="H6" s="26" t="s">
        <v>548</v>
      </c>
      <c r="I6" s="27" t="s">
        <v>549</v>
      </c>
      <c r="J6" s="26" t="s">
        <v>550</v>
      </c>
      <c r="K6" s="26" t="s">
        <v>551</v>
      </c>
      <c r="L6" s="26" t="s">
        <v>552</v>
      </c>
      <c r="M6" s="26" t="s">
        <v>553</v>
      </c>
      <c r="N6" s="25" t="s">
        <v>544</v>
      </c>
      <c r="O6" s="26" t="s">
        <v>98</v>
      </c>
      <c r="P6" s="25" t="s">
        <v>5</v>
      </c>
    </row>
    <row r="7" spans="1:16" ht="98.25" customHeight="1" x14ac:dyDescent="0.3">
      <c r="A7" s="22" t="s">
        <v>444</v>
      </c>
      <c r="B7" s="23" t="s">
        <v>554</v>
      </c>
      <c r="C7" s="22" t="s">
        <v>42</v>
      </c>
      <c r="D7" s="22" t="s">
        <v>535</v>
      </c>
      <c r="E7" s="23" t="s">
        <v>36</v>
      </c>
      <c r="F7" s="23" t="s">
        <v>555</v>
      </c>
      <c r="G7" s="23" t="s">
        <v>556</v>
      </c>
      <c r="H7" s="23" t="s">
        <v>557</v>
      </c>
      <c r="I7" s="24" t="s">
        <v>558</v>
      </c>
      <c r="J7" s="23" t="s">
        <v>559</v>
      </c>
      <c r="K7" s="23" t="s">
        <v>560</v>
      </c>
      <c r="L7" s="23" t="s">
        <v>561</v>
      </c>
      <c r="M7" s="23" t="s">
        <v>562</v>
      </c>
      <c r="N7" s="22" t="s">
        <v>544</v>
      </c>
      <c r="O7" s="23" t="s">
        <v>98</v>
      </c>
      <c r="P7" s="22" t="s">
        <v>5</v>
      </c>
    </row>
    <row r="8" spans="1:16" ht="138.75" customHeight="1" x14ac:dyDescent="0.3">
      <c r="A8" s="25" t="s">
        <v>195</v>
      </c>
      <c r="B8" s="26" t="s">
        <v>563</v>
      </c>
      <c r="C8" s="25" t="s">
        <v>43</v>
      </c>
      <c r="D8" s="25" t="s">
        <v>564</v>
      </c>
      <c r="E8" s="26" t="s">
        <v>33</v>
      </c>
      <c r="F8" s="26" t="s">
        <v>565</v>
      </c>
      <c r="G8" s="26" t="s">
        <v>566</v>
      </c>
      <c r="H8" s="26" t="s">
        <v>567</v>
      </c>
      <c r="I8" s="27" t="s">
        <v>568</v>
      </c>
      <c r="J8" s="26" t="s">
        <v>569</v>
      </c>
      <c r="K8" s="26" t="s">
        <v>570</v>
      </c>
      <c r="L8" s="26" t="s">
        <v>571</v>
      </c>
      <c r="M8" s="26" t="s">
        <v>572</v>
      </c>
      <c r="N8" s="25" t="s">
        <v>544</v>
      </c>
      <c r="O8" s="26" t="s">
        <v>98</v>
      </c>
      <c r="P8" s="25" t="s">
        <v>5</v>
      </c>
    </row>
    <row r="9" spans="1:16" ht="98.25" customHeight="1" x14ac:dyDescent="0.3">
      <c r="A9" s="22" t="s">
        <v>272</v>
      </c>
      <c r="B9" s="23" t="s">
        <v>573</v>
      </c>
      <c r="C9" s="22" t="s">
        <v>43</v>
      </c>
      <c r="D9" s="22" t="s">
        <v>564</v>
      </c>
      <c r="E9" s="23" t="s">
        <v>34</v>
      </c>
      <c r="F9" s="23" t="s">
        <v>574</v>
      </c>
      <c r="G9" s="23" t="s">
        <v>268</v>
      </c>
      <c r="H9" s="23" t="s">
        <v>575</v>
      </c>
      <c r="I9" s="24" t="s">
        <v>576</v>
      </c>
      <c r="J9" s="23" t="s">
        <v>577</v>
      </c>
      <c r="K9" s="23" t="s">
        <v>578</v>
      </c>
      <c r="L9" s="23" t="s">
        <v>579</v>
      </c>
      <c r="M9" s="23" t="s">
        <v>580</v>
      </c>
      <c r="N9" s="22" t="s">
        <v>544</v>
      </c>
      <c r="O9" s="23" t="s">
        <v>98</v>
      </c>
      <c r="P9" s="22" t="s">
        <v>5</v>
      </c>
    </row>
    <row r="10" spans="1:16" ht="71.25" customHeight="1" x14ac:dyDescent="0.3">
      <c r="A10" s="25" t="s">
        <v>410</v>
      </c>
      <c r="B10" s="26" t="s">
        <v>581</v>
      </c>
      <c r="C10" s="25" t="s">
        <v>43</v>
      </c>
      <c r="D10" s="25" t="s">
        <v>564</v>
      </c>
      <c r="E10" s="26" t="s">
        <v>36</v>
      </c>
      <c r="F10" s="26" t="s">
        <v>582</v>
      </c>
      <c r="G10" s="26" t="s">
        <v>406</v>
      </c>
      <c r="H10" s="26" t="s">
        <v>583</v>
      </c>
      <c r="I10" s="27" t="s">
        <v>584</v>
      </c>
      <c r="J10" s="26" t="s">
        <v>585</v>
      </c>
      <c r="K10" s="26" t="s">
        <v>586</v>
      </c>
      <c r="L10" s="26" t="s">
        <v>587</v>
      </c>
      <c r="M10" s="26" t="s">
        <v>588</v>
      </c>
      <c r="N10" s="25" t="s">
        <v>544</v>
      </c>
      <c r="O10" s="26" t="s">
        <v>98</v>
      </c>
      <c r="P10" s="25" t="s">
        <v>5</v>
      </c>
    </row>
    <row r="11" spans="1:16" ht="152.25" customHeight="1" x14ac:dyDescent="0.3">
      <c r="A11" s="22" t="s">
        <v>132</v>
      </c>
      <c r="B11" s="23" t="s">
        <v>589</v>
      </c>
      <c r="C11" s="22" t="s">
        <v>43</v>
      </c>
      <c r="D11" s="22" t="s">
        <v>564</v>
      </c>
      <c r="E11" s="23" t="s">
        <v>32</v>
      </c>
      <c r="F11" s="23" t="s">
        <v>590</v>
      </c>
      <c r="G11" s="23" t="s">
        <v>591</v>
      </c>
      <c r="H11" s="23" t="s">
        <v>592</v>
      </c>
      <c r="I11" s="24" t="s">
        <v>593</v>
      </c>
      <c r="J11" s="23" t="s">
        <v>569</v>
      </c>
      <c r="K11" s="23" t="s">
        <v>594</v>
      </c>
      <c r="L11" s="23" t="s">
        <v>595</v>
      </c>
      <c r="M11" s="23" t="s">
        <v>596</v>
      </c>
      <c r="N11" s="22" t="s">
        <v>544</v>
      </c>
      <c r="O11" s="23" t="s">
        <v>98</v>
      </c>
      <c r="P11" s="22" t="s">
        <v>5</v>
      </c>
    </row>
    <row r="12" spans="1:16" ht="111.75" customHeight="1" x14ac:dyDescent="0.3">
      <c r="A12" s="25" t="s">
        <v>415</v>
      </c>
      <c r="B12" s="26" t="s">
        <v>597</v>
      </c>
      <c r="C12" s="25" t="s">
        <v>43</v>
      </c>
      <c r="D12" s="25" t="s">
        <v>564</v>
      </c>
      <c r="E12" s="26" t="s">
        <v>36</v>
      </c>
      <c r="F12" s="26" t="s">
        <v>582</v>
      </c>
      <c r="G12" s="26" t="s">
        <v>598</v>
      </c>
      <c r="H12" s="26" t="s">
        <v>599</v>
      </c>
      <c r="I12" s="27" t="s">
        <v>600</v>
      </c>
      <c r="J12" s="26" t="s">
        <v>601</v>
      </c>
      <c r="K12" s="26" t="s">
        <v>602</v>
      </c>
      <c r="L12" s="26" t="s">
        <v>603</v>
      </c>
      <c r="M12" s="26" t="s">
        <v>604</v>
      </c>
      <c r="N12" s="25" t="s">
        <v>544</v>
      </c>
      <c r="O12" s="26" t="s">
        <v>98</v>
      </c>
      <c r="P12" s="25" t="s">
        <v>5</v>
      </c>
    </row>
    <row r="13" spans="1:16" ht="98.25" customHeight="1" x14ac:dyDescent="0.3">
      <c r="A13" s="22" t="s">
        <v>313</v>
      </c>
      <c r="B13" s="23" t="s">
        <v>605</v>
      </c>
      <c r="C13" s="22" t="s">
        <v>43</v>
      </c>
      <c r="D13" s="22" t="s">
        <v>564</v>
      </c>
      <c r="E13" s="23" t="s">
        <v>34</v>
      </c>
      <c r="F13" s="23" t="s">
        <v>574</v>
      </c>
      <c r="G13" s="23" t="s">
        <v>309</v>
      </c>
      <c r="H13" s="23" t="s">
        <v>606</v>
      </c>
      <c r="I13" s="24" t="s">
        <v>607</v>
      </c>
      <c r="J13" s="23" t="s">
        <v>608</v>
      </c>
      <c r="K13" s="23" t="s">
        <v>609</v>
      </c>
      <c r="L13" s="23" t="s">
        <v>610</v>
      </c>
      <c r="M13" s="23" t="s">
        <v>611</v>
      </c>
      <c r="N13" s="22" t="s">
        <v>544</v>
      </c>
      <c r="O13" s="23" t="s">
        <v>98</v>
      </c>
      <c r="P13" s="22" t="s">
        <v>5</v>
      </c>
    </row>
    <row r="14" spans="1:16" ht="138.75" customHeight="1" x14ac:dyDescent="0.3">
      <c r="A14" s="25" t="s">
        <v>357</v>
      </c>
      <c r="B14" s="26" t="s">
        <v>612</v>
      </c>
      <c r="C14" s="25" t="s">
        <v>43</v>
      </c>
      <c r="D14" s="25" t="s">
        <v>564</v>
      </c>
      <c r="E14" s="26" t="s">
        <v>34</v>
      </c>
      <c r="F14" s="26" t="s">
        <v>546</v>
      </c>
      <c r="G14" s="26" t="s">
        <v>351</v>
      </c>
      <c r="H14" s="26" t="s">
        <v>613</v>
      </c>
      <c r="I14" s="27" t="s">
        <v>614</v>
      </c>
      <c r="J14" s="26" t="s">
        <v>615</v>
      </c>
      <c r="K14" s="26" t="s">
        <v>616</v>
      </c>
      <c r="L14" s="26" t="s">
        <v>617</v>
      </c>
      <c r="M14" s="26" t="s">
        <v>618</v>
      </c>
      <c r="N14" s="25" t="s">
        <v>544</v>
      </c>
      <c r="O14" s="26" t="s">
        <v>98</v>
      </c>
      <c r="P14" s="25" t="s">
        <v>5</v>
      </c>
    </row>
    <row r="15" spans="1:16" ht="98.25" customHeight="1" x14ac:dyDescent="0.3">
      <c r="A15" s="22" t="s">
        <v>317</v>
      </c>
      <c r="B15" s="23" t="s">
        <v>619</v>
      </c>
      <c r="C15" s="22" t="s">
        <v>44</v>
      </c>
      <c r="D15" s="22" t="s">
        <v>620</v>
      </c>
      <c r="E15" s="23" t="s">
        <v>34</v>
      </c>
      <c r="F15" s="23" t="s">
        <v>621</v>
      </c>
      <c r="G15" s="23" t="s">
        <v>314</v>
      </c>
      <c r="H15" s="23" t="s">
        <v>622</v>
      </c>
      <c r="I15" s="24" t="s">
        <v>623</v>
      </c>
      <c r="J15" s="23" t="s">
        <v>608</v>
      </c>
      <c r="K15" s="23" t="s">
        <v>624</v>
      </c>
      <c r="L15" s="23" t="s">
        <v>625</v>
      </c>
      <c r="M15" s="23" t="s">
        <v>626</v>
      </c>
      <c r="N15" s="22" t="s">
        <v>544</v>
      </c>
      <c r="O15" s="23" t="s">
        <v>98</v>
      </c>
      <c r="P15" s="22" t="s">
        <v>5</v>
      </c>
    </row>
    <row r="16" spans="1:16" ht="138.75" customHeight="1" x14ac:dyDescent="0.3">
      <c r="A16" s="25" t="s">
        <v>431</v>
      </c>
      <c r="B16" s="26" t="s">
        <v>627</v>
      </c>
      <c r="C16" s="25" t="s">
        <v>44</v>
      </c>
      <c r="D16" s="25" t="s">
        <v>620</v>
      </c>
      <c r="E16" s="26" t="s">
        <v>36</v>
      </c>
      <c r="F16" s="26" t="s">
        <v>582</v>
      </c>
      <c r="G16" s="26" t="s">
        <v>628</v>
      </c>
      <c r="H16" s="26" t="s">
        <v>629</v>
      </c>
      <c r="I16" s="27" t="s">
        <v>630</v>
      </c>
      <c r="J16" s="26" t="s">
        <v>631</v>
      </c>
      <c r="K16" s="26" t="s">
        <v>632</v>
      </c>
      <c r="L16" s="26" t="s">
        <v>633</v>
      </c>
      <c r="M16" s="26" t="s">
        <v>634</v>
      </c>
      <c r="N16" s="25" t="s">
        <v>544</v>
      </c>
      <c r="O16" s="26" t="s">
        <v>98</v>
      </c>
      <c r="P16" s="25" t="s">
        <v>5</v>
      </c>
    </row>
    <row r="17" spans="1:16" ht="84.75" customHeight="1" x14ac:dyDescent="0.3">
      <c r="A17" s="22" t="s">
        <v>331</v>
      </c>
      <c r="B17" s="23" t="s">
        <v>635</v>
      </c>
      <c r="C17" s="22" t="s">
        <v>44</v>
      </c>
      <c r="D17" s="22" t="s">
        <v>620</v>
      </c>
      <c r="E17" s="23" t="s">
        <v>34</v>
      </c>
      <c r="F17" s="23" t="s">
        <v>636</v>
      </c>
      <c r="G17" s="23" t="s">
        <v>327</v>
      </c>
      <c r="H17" s="23" t="s">
        <v>637</v>
      </c>
      <c r="I17" s="24" t="s">
        <v>638</v>
      </c>
      <c r="J17" s="23" t="s">
        <v>639</v>
      </c>
      <c r="K17" s="23" t="s">
        <v>640</v>
      </c>
      <c r="L17" s="23" t="s">
        <v>641</v>
      </c>
      <c r="M17" s="23" t="s">
        <v>642</v>
      </c>
      <c r="N17" s="22" t="s">
        <v>544</v>
      </c>
      <c r="O17" s="23" t="s">
        <v>98</v>
      </c>
      <c r="P17" s="22" t="s">
        <v>5</v>
      </c>
    </row>
    <row r="18" spans="1:16" ht="71.25" customHeight="1" x14ac:dyDescent="0.3">
      <c r="A18" s="25" t="s">
        <v>467</v>
      </c>
      <c r="B18" s="26" t="s">
        <v>643</v>
      </c>
      <c r="C18" s="25" t="s">
        <v>44</v>
      </c>
      <c r="D18" s="25" t="s">
        <v>620</v>
      </c>
      <c r="E18" s="26" t="s">
        <v>644</v>
      </c>
      <c r="F18" s="26" t="s">
        <v>645</v>
      </c>
      <c r="G18" s="26" t="s">
        <v>463</v>
      </c>
      <c r="H18" s="26" t="s">
        <v>646</v>
      </c>
      <c r="I18" s="27" t="s">
        <v>647</v>
      </c>
      <c r="J18" s="26" t="s">
        <v>608</v>
      </c>
      <c r="K18" s="26" t="s">
        <v>648</v>
      </c>
      <c r="L18" s="26" t="s">
        <v>649</v>
      </c>
      <c r="M18" s="26" t="s">
        <v>650</v>
      </c>
      <c r="N18" s="25" t="s">
        <v>544</v>
      </c>
      <c r="O18" s="26" t="s">
        <v>98</v>
      </c>
      <c r="P18" s="25" t="s">
        <v>5</v>
      </c>
    </row>
    <row r="19" spans="1:16" ht="125.25" customHeight="1" x14ac:dyDescent="0.3">
      <c r="A19" s="22" t="s">
        <v>141</v>
      </c>
      <c r="B19" s="23" t="s">
        <v>651</v>
      </c>
      <c r="C19" s="22" t="s">
        <v>44</v>
      </c>
      <c r="D19" s="22" t="s">
        <v>620</v>
      </c>
      <c r="E19" s="23" t="s">
        <v>652</v>
      </c>
      <c r="F19" s="23" t="s">
        <v>653</v>
      </c>
      <c r="G19" s="23" t="s">
        <v>654</v>
      </c>
      <c r="H19" s="23" t="s">
        <v>655</v>
      </c>
      <c r="I19" s="24" t="s">
        <v>656</v>
      </c>
      <c r="J19" s="23" t="s">
        <v>631</v>
      </c>
      <c r="K19" s="23" t="s">
        <v>657</v>
      </c>
      <c r="L19" s="23" t="s">
        <v>658</v>
      </c>
      <c r="M19" s="23" t="s">
        <v>659</v>
      </c>
      <c r="N19" s="22" t="s">
        <v>544</v>
      </c>
      <c r="O19" s="23" t="s">
        <v>98</v>
      </c>
      <c r="P19" s="22" t="s">
        <v>5</v>
      </c>
    </row>
    <row r="20" spans="1:16" ht="165.75" customHeight="1" x14ac:dyDescent="0.3">
      <c r="A20" s="25" t="s">
        <v>146</v>
      </c>
      <c r="B20" s="26" t="s">
        <v>660</v>
      </c>
      <c r="C20" s="25" t="s">
        <v>45</v>
      </c>
      <c r="D20" s="25" t="s">
        <v>661</v>
      </c>
      <c r="E20" s="26" t="s">
        <v>662</v>
      </c>
      <c r="F20" s="26" t="s">
        <v>663</v>
      </c>
      <c r="G20" s="26" t="s">
        <v>664</v>
      </c>
      <c r="H20" s="26" t="s">
        <v>665</v>
      </c>
      <c r="I20" s="27" t="s">
        <v>666</v>
      </c>
      <c r="J20" s="26" t="s">
        <v>667</v>
      </c>
      <c r="K20" s="26" t="s">
        <v>668</v>
      </c>
      <c r="L20" s="26" t="s">
        <v>669</v>
      </c>
      <c r="M20" s="26" t="s">
        <v>670</v>
      </c>
      <c r="N20" s="25" t="s">
        <v>544</v>
      </c>
      <c r="O20" s="26" t="s">
        <v>98</v>
      </c>
      <c r="P20" s="25" t="s">
        <v>5</v>
      </c>
    </row>
    <row r="21" spans="1:16" ht="98.25" customHeight="1" x14ac:dyDescent="0.3">
      <c r="A21" s="22" t="s">
        <v>493</v>
      </c>
      <c r="B21" s="23" t="s">
        <v>671</v>
      </c>
      <c r="C21" s="22" t="s">
        <v>44</v>
      </c>
      <c r="D21" s="22" t="s">
        <v>620</v>
      </c>
      <c r="E21" s="23" t="s">
        <v>672</v>
      </c>
      <c r="F21" s="23" t="s">
        <v>645</v>
      </c>
      <c r="G21" s="23" t="s">
        <v>488</v>
      </c>
      <c r="H21" s="23" t="s">
        <v>673</v>
      </c>
      <c r="I21" s="24" t="s">
        <v>674</v>
      </c>
      <c r="J21" s="23" t="s">
        <v>675</v>
      </c>
      <c r="K21" s="23" t="s">
        <v>676</v>
      </c>
      <c r="L21" s="23" t="s">
        <v>677</v>
      </c>
      <c r="M21" s="23" t="s">
        <v>678</v>
      </c>
      <c r="N21" s="22" t="s">
        <v>544</v>
      </c>
      <c r="O21" s="23" t="s">
        <v>98</v>
      </c>
      <c r="P21" s="22" t="s">
        <v>5</v>
      </c>
    </row>
    <row r="22" spans="1:16" ht="84.75" customHeight="1" x14ac:dyDescent="0.3"/>
  </sheetData>
  <autoFilter ref="A4:P22" xr:uid="{00000000-0009-0000-0000-000002000000}"/>
  <conditionalFormatting sqref="C5:C62">
    <cfRule type="cellIs" dxfId="3" priority="2" operator="equal">
      <formula>"Critical"</formula>
    </cfRule>
    <cfRule type="cellIs" dxfId="2" priority="3" operator="equal">
      <formula>"High"</formula>
    </cfRule>
    <cfRule type="cellIs" dxfId="1" priority="4" operator="equal">
      <formula>"Medium"</formula>
    </cfRule>
    <cfRule type="cellIs" dxfId="0" priority="5" operator="equal">
      <formula>"Low"</formula>
    </cfRule>
  </conditionalFormatting>
  <dataValidations count="1">
    <dataValidation type="list" allowBlank="1" sqref="N5:N62" xr:uid="{00000000-0002-0000-0200-000000000000}">
      <formula1>"Open,In Progress,Fixed,Retest,Closed,Rejected"</formula1>
      <formula2>0</formula2>
    </dataValidation>
  </dataValidations>
  <pageMargins left="0.75" right="0.75" top="1" bottom="1" header="0.511811023622047" footer="0.511811023622047"/>
  <pageSetup fitToHeight="0"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7F7F7F"/>
    <pageSetUpPr fitToPage="1"/>
  </sheetPr>
  <dimension ref="A1:G33"/>
  <sheetViews>
    <sheetView showGridLines="0" zoomScaleNormal="100" workbookViewId="0">
      <pane ySplit="4" topLeftCell="A5" activePane="bottomLeft" state="frozen"/>
      <selection pane="bottomLeft"/>
    </sheetView>
  </sheetViews>
  <sheetFormatPr defaultColWidth="8.6640625" defaultRowHeight="14.4" x14ac:dyDescent="0.3"/>
  <cols>
    <col min="1" max="1" width="24" customWidth="1"/>
    <col min="2" max="2" width="20" customWidth="1"/>
    <col min="3" max="3" width="30" customWidth="1"/>
    <col min="4" max="4" width="12" customWidth="1"/>
    <col min="5" max="5" width="10" customWidth="1"/>
    <col min="6" max="6" width="44" customWidth="1"/>
    <col min="7" max="7" width="56" customWidth="1"/>
  </cols>
  <sheetData>
    <row r="1" spans="1:7" ht="30" customHeight="1" x14ac:dyDescent="0.4">
      <c r="A1" s="2" t="s">
        <v>679</v>
      </c>
      <c r="B1" s="4"/>
      <c r="C1" s="4"/>
      <c r="D1" s="4"/>
      <c r="E1" s="4"/>
      <c r="F1" s="4"/>
      <c r="G1" s="4"/>
    </row>
    <row r="2" spans="1:7" ht="19.5" customHeight="1" x14ac:dyDescent="0.3">
      <c r="A2" s="1" t="s">
        <v>680</v>
      </c>
      <c r="B2" s="6"/>
      <c r="C2" s="6"/>
      <c r="D2" s="6"/>
      <c r="E2" s="6"/>
      <c r="F2" s="6"/>
      <c r="G2" s="6"/>
    </row>
    <row r="4" spans="1:7" ht="31.5" customHeight="1" x14ac:dyDescent="0.3">
      <c r="A4" s="11" t="s">
        <v>681</v>
      </c>
      <c r="B4" s="11" t="s">
        <v>682</v>
      </c>
      <c r="C4" s="11" t="s">
        <v>683</v>
      </c>
      <c r="D4" s="11" t="s">
        <v>684</v>
      </c>
      <c r="E4" s="11" t="s">
        <v>685</v>
      </c>
      <c r="F4" s="11" t="s">
        <v>686</v>
      </c>
      <c r="G4" s="11" t="s">
        <v>687</v>
      </c>
    </row>
    <row r="5" spans="1:7" ht="18" customHeight="1" x14ac:dyDescent="0.3">
      <c r="A5" s="23" t="s">
        <v>688</v>
      </c>
      <c r="B5" s="23" t="s">
        <v>689</v>
      </c>
      <c r="C5" s="23" t="s">
        <v>690</v>
      </c>
      <c r="D5" s="22" t="s">
        <v>691</v>
      </c>
      <c r="E5" s="22" t="s">
        <v>692</v>
      </c>
      <c r="F5" s="23" t="s">
        <v>693</v>
      </c>
      <c r="G5" s="23" t="s">
        <v>694</v>
      </c>
    </row>
    <row r="6" spans="1:7" ht="18" customHeight="1" x14ac:dyDescent="0.3">
      <c r="A6" s="26" t="s">
        <v>688</v>
      </c>
      <c r="B6" s="26" t="s">
        <v>695</v>
      </c>
      <c r="C6" s="26" t="s">
        <v>696</v>
      </c>
      <c r="D6" s="25"/>
      <c r="E6" s="25" t="s">
        <v>692</v>
      </c>
      <c r="F6" s="26" t="s">
        <v>697</v>
      </c>
      <c r="G6" s="26" t="s">
        <v>698</v>
      </c>
    </row>
    <row r="7" spans="1:7" ht="18" customHeight="1" x14ac:dyDescent="0.3">
      <c r="A7" s="23" t="s">
        <v>688</v>
      </c>
      <c r="B7" s="23" t="s">
        <v>699</v>
      </c>
      <c r="C7" s="23" t="s">
        <v>700</v>
      </c>
      <c r="D7" s="22"/>
      <c r="E7" s="22" t="s">
        <v>692</v>
      </c>
      <c r="F7" s="23" t="s">
        <v>697</v>
      </c>
      <c r="G7" s="23" t="s">
        <v>698</v>
      </c>
    </row>
    <row r="8" spans="1:7" ht="18" customHeight="1" x14ac:dyDescent="0.3">
      <c r="A8" s="26" t="s">
        <v>688</v>
      </c>
      <c r="B8" s="26" t="s">
        <v>701</v>
      </c>
      <c r="C8" s="26" t="s">
        <v>696</v>
      </c>
      <c r="D8" s="25" t="s">
        <v>702</v>
      </c>
      <c r="E8" s="25" t="s">
        <v>692</v>
      </c>
      <c r="F8" s="26" t="s">
        <v>703</v>
      </c>
      <c r="G8" s="26" t="s">
        <v>704</v>
      </c>
    </row>
    <row r="9" spans="1:7" ht="18" customHeight="1" x14ac:dyDescent="0.3">
      <c r="A9" s="23" t="s">
        <v>688</v>
      </c>
      <c r="B9" s="23" t="s">
        <v>705</v>
      </c>
      <c r="C9" s="23" t="s">
        <v>706</v>
      </c>
      <c r="D9" s="22"/>
      <c r="E9" s="22" t="s">
        <v>692</v>
      </c>
      <c r="F9" s="23" t="s">
        <v>707</v>
      </c>
      <c r="G9" s="23" t="s">
        <v>708</v>
      </c>
    </row>
    <row r="10" spans="1:7" ht="18" customHeight="1" x14ac:dyDescent="0.3">
      <c r="A10" s="26" t="s">
        <v>709</v>
      </c>
      <c r="B10" s="26" t="s">
        <v>710</v>
      </c>
      <c r="C10" s="26" t="s">
        <v>690</v>
      </c>
      <c r="D10" s="25" t="s">
        <v>691</v>
      </c>
      <c r="E10" s="25" t="s">
        <v>692</v>
      </c>
      <c r="F10" s="26" t="s">
        <v>693</v>
      </c>
      <c r="G10" s="26" t="s">
        <v>711</v>
      </c>
    </row>
    <row r="11" spans="1:7" ht="18" customHeight="1" x14ac:dyDescent="0.3">
      <c r="A11" s="23" t="s">
        <v>709</v>
      </c>
      <c r="B11" s="23" t="s">
        <v>689</v>
      </c>
      <c r="C11" s="23" t="s">
        <v>690</v>
      </c>
      <c r="D11" s="22" t="s">
        <v>712</v>
      </c>
      <c r="E11" s="22" t="s">
        <v>692</v>
      </c>
      <c r="F11" s="23" t="s">
        <v>713</v>
      </c>
      <c r="G11" s="23" t="s">
        <v>714</v>
      </c>
    </row>
    <row r="12" spans="1:7" ht="30.75" customHeight="1" x14ac:dyDescent="0.3">
      <c r="A12" s="26" t="s">
        <v>709</v>
      </c>
      <c r="B12" s="26" t="s">
        <v>715</v>
      </c>
      <c r="C12" s="26" t="s">
        <v>716</v>
      </c>
      <c r="D12" s="25"/>
      <c r="E12" s="25" t="s">
        <v>692</v>
      </c>
      <c r="F12" s="26" t="s">
        <v>697</v>
      </c>
      <c r="G12" s="26" t="s">
        <v>717</v>
      </c>
    </row>
    <row r="13" spans="1:7" ht="18" customHeight="1" x14ac:dyDescent="0.3">
      <c r="A13" s="23" t="s">
        <v>709</v>
      </c>
      <c r="B13" s="23" t="s">
        <v>718</v>
      </c>
      <c r="C13" s="23" t="s">
        <v>719</v>
      </c>
      <c r="D13" s="22"/>
      <c r="E13" s="22" t="s">
        <v>720</v>
      </c>
      <c r="F13" s="23" t="s">
        <v>721</v>
      </c>
      <c r="G13" s="23" t="s">
        <v>722</v>
      </c>
    </row>
    <row r="14" spans="1:7" ht="18" customHeight="1" x14ac:dyDescent="0.3">
      <c r="A14" s="26" t="s">
        <v>723</v>
      </c>
      <c r="B14" s="26" t="s">
        <v>724</v>
      </c>
      <c r="C14" s="26" t="s">
        <v>690</v>
      </c>
      <c r="D14" s="25" t="s">
        <v>691</v>
      </c>
      <c r="E14" s="25" t="s">
        <v>692</v>
      </c>
      <c r="F14" s="26" t="s">
        <v>693</v>
      </c>
      <c r="G14" s="26" t="s">
        <v>725</v>
      </c>
    </row>
    <row r="15" spans="1:7" ht="18" customHeight="1" x14ac:dyDescent="0.3">
      <c r="A15" s="23" t="s">
        <v>723</v>
      </c>
      <c r="B15" s="23" t="s">
        <v>726</v>
      </c>
      <c r="C15" s="23" t="s">
        <v>727</v>
      </c>
      <c r="D15" s="22" t="s">
        <v>702</v>
      </c>
      <c r="E15" s="22" t="s">
        <v>692</v>
      </c>
      <c r="F15" s="23" t="s">
        <v>703</v>
      </c>
      <c r="G15" s="23" t="s">
        <v>728</v>
      </c>
    </row>
    <row r="16" spans="1:7" ht="18" customHeight="1" x14ac:dyDescent="0.3">
      <c r="A16" s="26" t="s">
        <v>729</v>
      </c>
      <c r="B16" s="26" t="s">
        <v>730</v>
      </c>
      <c r="C16" s="26" t="s">
        <v>690</v>
      </c>
      <c r="D16" s="25" t="s">
        <v>691</v>
      </c>
      <c r="E16" s="25" t="s">
        <v>692</v>
      </c>
      <c r="F16" s="26" t="s">
        <v>693</v>
      </c>
      <c r="G16" s="26" t="s">
        <v>574</v>
      </c>
    </row>
    <row r="17" spans="1:7" ht="18" customHeight="1" x14ac:dyDescent="0.3">
      <c r="A17" s="23" t="s">
        <v>729</v>
      </c>
      <c r="B17" s="23" t="s">
        <v>731</v>
      </c>
      <c r="C17" s="23" t="s">
        <v>690</v>
      </c>
      <c r="D17" s="22" t="s">
        <v>712</v>
      </c>
      <c r="E17" s="22" t="s">
        <v>692</v>
      </c>
      <c r="F17" s="23" t="s">
        <v>732</v>
      </c>
      <c r="G17" s="23" t="s">
        <v>733</v>
      </c>
    </row>
    <row r="18" spans="1:7" ht="18" customHeight="1" x14ac:dyDescent="0.3">
      <c r="A18" s="26" t="s">
        <v>729</v>
      </c>
      <c r="B18" s="26" t="s">
        <v>734</v>
      </c>
      <c r="C18" s="26" t="s">
        <v>690</v>
      </c>
      <c r="D18" s="25" t="s">
        <v>712</v>
      </c>
      <c r="E18" s="25" t="s">
        <v>720</v>
      </c>
      <c r="F18" s="26" t="s">
        <v>732</v>
      </c>
      <c r="G18" s="26" t="s">
        <v>735</v>
      </c>
    </row>
    <row r="19" spans="1:7" ht="18" customHeight="1" x14ac:dyDescent="0.3">
      <c r="A19" s="23" t="s">
        <v>729</v>
      </c>
      <c r="B19" s="23" t="s">
        <v>724</v>
      </c>
      <c r="C19" s="23" t="s">
        <v>690</v>
      </c>
      <c r="D19" s="22" t="s">
        <v>712</v>
      </c>
      <c r="E19" s="22" t="s">
        <v>720</v>
      </c>
      <c r="F19" s="23" t="s">
        <v>736</v>
      </c>
      <c r="G19" s="23" t="s">
        <v>737</v>
      </c>
    </row>
    <row r="20" spans="1:7" ht="30.75" customHeight="1" x14ac:dyDescent="0.3">
      <c r="A20" s="26" t="s">
        <v>729</v>
      </c>
      <c r="B20" s="26" t="s">
        <v>738</v>
      </c>
      <c r="C20" s="26" t="s">
        <v>739</v>
      </c>
      <c r="D20" s="25"/>
      <c r="E20" s="25" t="s">
        <v>692</v>
      </c>
      <c r="F20" s="26" t="s">
        <v>697</v>
      </c>
      <c r="G20" s="26" t="s">
        <v>740</v>
      </c>
    </row>
    <row r="21" spans="1:7" ht="18" customHeight="1" x14ac:dyDescent="0.3">
      <c r="A21" s="23" t="s">
        <v>729</v>
      </c>
      <c r="B21" s="23" t="s">
        <v>741</v>
      </c>
      <c r="C21" s="23" t="s">
        <v>719</v>
      </c>
      <c r="D21" s="22"/>
      <c r="E21" s="22" t="s">
        <v>720</v>
      </c>
      <c r="F21" s="23" t="s">
        <v>742</v>
      </c>
      <c r="G21" s="23" t="s">
        <v>743</v>
      </c>
    </row>
    <row r="22" spans="1:7" ht="30.75" customHeight="1" x14ac:dyDescent="0.3">
      <c r="A22" s="26" t="s">
        <v>729</v>
      </c>
      <c r="B22" s="26" t="s">
        <v>744</v>
      </c>
      <c r="C22" s="26" t="s">
        <v>745</v>
      </c>
      <c r="D22" s="25"/>
      <c r="E22" s="25" t="s">
        <v>720</v>
      </c>
      <c r="F22" s="26" t="s">
        <v>746</v>
      </c>
      <c r="G22" s="26" t="s">
        <v>747</v>
      </c>
    </row>
    <row r="23" spans="1:7" ht="18" customHeight="1" x14ac:dyDescent="0.3">
      <c r="A23" s="23" t="s">
        <v>729</v>
      </c>
      <c r="B23" s="23" t="s">
        <v>748</v>
      </c>
      <c r="C23" s="23" t="s">
        <v>700</v>
      </c>
      <c r="D23" s="22"/>
      <c r="E23" s="22" t="s">
        <v>692</v>
      </c>
      <c r="F23" s="23" t="s">
        <v>697</v>
      </c>
      <c r="G23" s="23" t="s">
        <v>749</v>
      </c>
    </row>
    <row r="24" spans="1:7" ht="18" customHeight="1" x14ac:dyDescent="0.3">
      <c r="A24" s="26" t="s">
        <v>750</v>
      </c>
      <c r="B24" s="26" t="s">
        <v>751</v>
      </c>
      <c r="C24" s="26" t="s">
        <v>690</v>
      </c>
      <c r="D24" s="25" t="s">
        <v>691</v>
      </c>
      <c r="E24" s="25" t="s">
        <v>692</v>
      </c>
      <c r="F24" s="26" t="s">
        <v>693</v>
      </c>
      <c r="G24" s="26" t="s">
        <v>582</v>
      </c>
    </row>
    <row r="25" spans="1:7" ht="18" customHeight="1" x14ac:dyDescent="0.3">
      <c r="A25" s="23" t="s">
        <v>750</v>
      </c>
      <c r="B25" s="23" t="s">
        <v>730</v>
      </c>
      <c r="C25" s="23" t="s">
        <v>690</v>
      </c>
      <c r="D25" s="22" t="s">
        <v>712</v>
      </c>
      <c r="E25" s="22" t="s">
        <v>692</v>
      </c>
      <c r="F25" s="23" t="s">
        <v>752</v>
      </c>
      <c r="G25" s="23" t="s">
        <v>582</v>
      </c>
    </row>
    <row r="26" spans="1:7" ht="30.75" customHeight="1" x14ac:dyDescent="0.3">
      <c r="A26" s="26" t="s">
        <v>750</v>
      </c>
      <c r="B26" s="26" t="s">
        <v>753</v>
      </c>
      <c r="C26" s="26" t="s">
        <v>754</v>
      </c>
      <c r="D26" s="25"/>
      <c r="E26" s="25" t="s">
        <v>692</v>
      </c>
      <c r="F26" s="26" t="s">
        <v>697</v>
      </c>
      <c r="G26" s="26" t="s">
        <v>755</v>
      </c>
    </row>
    <row r="27" spans="1:7" ht="18" customHeight="1" x14ac:dyDescent="0.3">
      <c r="A27" s="23" t="s">
        <v>750</v>
      </c>
      <c r="B27" s="23" t="s">
        <v>741</v>
      </c>
      <c r="C27" s="23" t="s">
        <v>756</v>
      </c>
      <c r="D27" s="22"/>
      <c r="E27" s="22" t="s">
        <v>720</v>
      </c>
      <c r="F27" s="23" t="s">
        <v>742</v>
      </c>
      <c r="G27" s="23" t="s">
        <v>757</v>
      </c>
    </row>
    <row r="28" spans="1:7" ht="18" customHeight="1" x14ac:dyDescent="0.3">
      <c r="A28" s="26" t="s">
        <v>758</v>
      </c>
      <c r="B28" s="26" t="s">
        <v>759</v>
      </c>
      <c r="C28" s="26" t="s">
        <v>690</v>
      </c>
      <c r="D28" s="25" t="s">
        <v>691</v>
      </c>
      <c r="E28" s="25" t="s">
        <v>692</v>
      </c>
      <c r="F28" s="26" t="s">
        <v>693</v>
      </c>
      <c r="G28" s="26" t="s">
        <v>645</v>
      </c>
    </row>
    <row r="29" spans="1:7" ht="18" customHeight="1" x14ac:dyDescent="0.3">
      <c r="A29" s="23" t="s">
        <v>758</v>
      </c>
      <c r="B29" s="23" t="s">
        <v>760</v>
      </c>
      <c r="C29" s="23" t="s">
        <v>696</v>
      </c>
      <c r="D29" s="22"/>
      <c r="E29" s="22" t="s">
        <v>692</v>
      </c>
      <c r="F29" s="23" t="s">
        <v>697</v>
      </c>
      <c r="G29" s="23" t="s">
        <v>761</v>
      </c>
    </row>
    <row r="30" spans="1:7" ht="18" customHeight="1" x14ac:dyDescent="0.3">
      <c r="A30" s="26" t="s">
        <v>758</v>
      </c>
      <c r="B30" s="26" t="s">
        <v>762</v>
      </c>
      <c r="C30" s="26" t="s">
        <v>696</v>
      </c>
      <c r="D30" s="25"/>
      <c r="E30" s="25" t="s">
        <v>720</v>
      </c>
      <c r="F30" s="26" t="s">
        <v>763</v>
      </c>
      <c r="G30" s="26" t="s">
        <v>764</v>
      </c>
    </row>
    <row r="31" spans="1:7" ht="18" customHeight="1" x14ac:dyDescent="0.3">
      <c r="A31" s="23" t="s">
        <v>765</v>
      </c>
      <c r="B31" s="23" t="s">
        <v>766</v>
      </c>
      <c r="C31" s="23" t="s">
        <v>690</v>
      </c>
      <c r="D31" s="22" t="s">
        <v>691</v>
      </c>
      <c r="E31" s="22" t="s">
        <v>692</v>
      </c>
      <c r="F31" s="23" t="s">
        <v>693</v>
      </c>
      <c r="G31" s="23" t="s">
        <v>645</v>
      </c>
    </row>
    <row r="32" spans="1:7" ht="18" customHeight="1" x14ac:dyDescent="0.3">
      <c r="A32" s="26" t="s">
        <v>765</v>
      </c>
      <c r="B32" s="26" t="s">
        <v>695</v>
      </c>
      <c r="C32" s="26" t="s">
        <v>696</v>
      </c>
      <c r="D32" s="25"/>
      <c r="E32" s="25" t="s">
        <v>692</v>
      </c>
      <c r="F32" s="26" t="s">
        <v>697</v>
      </c>
      <c r="G32" s="26" t="s">
        <v>761</v>
      </c>
    </row>
    <row r="33" spans="1:7" ht="18" customHeight="1" x14ac:dyDescent="0.3">
      <c r="A33" s="23" t="s">
        <v>765</v>
      </c>
      <c r="B33" s="23" t="s">
        <v>759</v>
      </c>
      <c r="C33" s="23" t="s">
        <v>690</v>
      </c>
      <c r="D33" s="22" t="s">
        <v>712</v>
      </c>
      <c r="E33" s="22" t="s">
        <v>692</v>
      </c>
      <c r="F33" s="23" t="s">
        <v>767</v>
      </c>
      <c r="G33" s="23" t="s">
        <v>768</v>
      </c>
    </row>
  </sheetData>
  <autoFilter ref="A4:G33" xr:uid="{00000000-0009-0000-0000-000003000000}"/>
  <pageMargins left="0.75" right="0.75" top="1" bottom="1" header="0.511811023622047" footer="0.511811023622047"/>
  <pageSetup fitToHeight="0" orientation="landscape"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L43"/>
  <sheetViews>
    <sheetView showGridLines="0" zoomScaleNormal="100" workbookViewId="0"/>
  </sheetViews>
  <sheetFormatPr defaultColWidth="8.6640625" defaultRowHeight="14.4" x14ac:dyDescent="0.3"/>
  <cols>
    <col min="1" max="1" width="30" customWidth="1"/>
    <col min="2" max="2" width="26" customWidth="1"/>
    <col min="3" max="3" width="30" customWidth="1"/>
    <col min="4" max="4" width="26" customWidth="1"/>
    <col min="5" max="5" width="40" customWidth="1"/>
  </cols>
  <sheetData>
    <row r="1" spans="1:12" ht="21" x14ac:dyDescent="0.4">
      <c r="A1" s="36" t="s">
        <v>769</v>
      </c>
      <c r="B1" s="36"/>
      <c r="C1" s="36"/>
      <c r="D1" s="36"/>
      <c r="E1" s="36"/>
      <c r="F1" s="36"/>
      <c r="G1" s="36"/>
      <c r="H1" s="36"/>
      <c r="I1" s="36"/>
      <c r="J1" s="36"/>
      <c r="K1" s="36"/>
      <c r="L1" s="36"/>
    </row>
    <row r="2" spans="1:12" x14ac:dyDescent="0.3">
      <c r="A2" s="37" t="s">
        <v>770</v>
      </c>
      <c r="B2" s="37"/>
      <c r="C2" s="37"/>
      <c r="D2" s="37"/>
      <c r="E2" s="37"/>
      <c r="F2" s="37"/>
      <c r="G2" s="37"/>
      <c r="H2" s="37"/>
      <c r="I2" s="37"/>
      <c r="J2" s="37"/>
      <c r="K2" s="37"/>
      <c r="L2" s="37"/>
    </row>
    <row r="37" spans="1:3" x14ac:dyDescent="0.3">
      <c r="A37" s="11" t="s">
        <v>771</v>
      </c>
      <c r="B37" s="11" t="s">
        <v>772</v>
      </c>
      <c r="C37" s="11" t="s">
        <v>773</v>
      </c>
    </row>
    <row r="38" spans="1:3" x14ac:dyDescent="0.3">
      <c r="A38" s="23" t="s">
        <v>774</v>
      </c>
      <c r="B38" s="23" t="s">
        <v>775</v>
      </c>
      <c r="C38" s="23" t="s">
        <v>776</v>
      </c>
    </row>
    <row r="39" spans="1:3" x14ac:dyDescent="0.3">
      <c r="A39" s="23" t="s">
        <v>777</v>
      </c>
      <c r="B39" s="23" t="s">
        <v>778</v>
      </c>
      <c r="C39" s="23" t="s">
        <v>779</v>
      </c>
    </row>
    <row r="40" spans="1:3" x14ac:dyDescent="0.3">
      <c r="A40" s="23" t="s">
        <v>780</v>
      </c>
      <c r="B40" s="23" t="s">
        <v>781</v>
      </c>
      <c r="C40" s="23" t="s">
        <v>779</v>
      </c>
    </row>
    <row r="41" spans="1:3" x14ac:dyDescent="0.3">
      <c r="A41" s="23" t="s">
        <v>782</v>
      </c>
      <c r="B41" s="23" t="s">
        <v>783</v>
      </c>
      <c r="C41" s="23" t="s">
        <v>784</v>
      </c>
    </row>
    <row r="42" spans="1:3" x14ac:dyDescent="0.3">
      <c r="A42" s="23" t="s">
        <v>785</v>
      </c>
      <c r="B42" s="23" t="s">
        <v>786</v>
      </c>
      <c r="C42" s="23" t="s">
        <v>787</v>
      </c>
    </row>
    <row r="43" spans="1:3" x14ac:dyDescent="0.3">
      <c r="A43" s="23" t="s">
        <v>788</v>
      </c>
      <c r="B43" s="23" t="s">
        <v>789</v>
      </c>
      <c r="C43" s="23" t="s">
        <v>790</v>
      </c>
    </row>
  </sheetData>
  <mergeCells count="2">
    <mergeCell ref="A1:L1"/>
    <mergeCell ref="A2:L2"/>
  </mergeCells>
  <pageMargins left="0.75" right="0.75" top="1" bottom="1" header="0.511811023622047" footer="0.511811023622047"/>
  <pageSetup fitToHeight="0" orientation="landscape" horizontalDpi="300" verticalDpi="30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7F7F7F"/>
    <pageSetUpPr fitToPage="1"/>
  </sheetPr>
  <dimension ref="A1:I52"/>
  <sheetViews>
    <sheetView showGridLines="0" topLeftCell="A4" zoomScaleNormal="100" workbookViewId="0"/>
  </sheetViews>
  <sheetFormatPr defaultColWidth="8.6640625" defaultRowHeight="14.4" x14ac:dyDescent="0.3"/>
  <cols>
    <col min="1" max="1" width="16" customWidth="1"/>
    <col min="2" max="3" width="22" customWidth="1"/>
    <col min="4" max="4" width="28" customWidth="1"/>
    <col min="5" max="5" width="18" customWidth="1"/>
    <col min="6" max="6" width="16" customWidth="1"/>
    <col min="7" max="7" width="20" customWidth="1"/>
    <col min="8" max="8" width="16" customWidth="1"/>
  </cols>
  <sheetData>
    <row r="1" spans="1:9" ht="30" customHeight="1" x14ac:dyDescent="0.4">
      <c r="A1" s="2" t="s">
        <v>791</v>
      </c>
      <c r="B1" s="4"/>
      <c r="C1" s="4"/>
      <c r="D1" s="4"/>
      <c r="E1" s="4"/>
      <c r="F1" s="4"/>
      <c r="G1" s="4"/>
      <c r="H1" s="4"/>
      <c r="I1" s="4"/>
    </row>
    <row r="2" spans="1:9" ht="19.5" customHeight="1" x14ac:dyDescent="0.3">
      <c r="A2" s="1" t="s">
        <v>792</v>
      </c>
      <c r="B2" s="6"/>
      <c r="C2" s="6"/>
      <c r="D2" s="6"/>
      <c r="E2" s="6"/>
      <c r="F2" s="6"/>
      <c r="G2" s="6"/>
      <c r="H2" s="6"/>
      <c r="I2" s="6"/>
    </row>
    <row r="4" spans="1:9" ht="15" customHeight="1" x14ac:dyDescent="0.3">
      <c r="A4" s="28" t="s">
        <v>793</v>
      </c>
    </row>
    <row r="5" spans="1:9" ht="15" customHeight="1" x14ac:dyDescent="0.3">
      <c r="A5" s="29" t="s">
        <v>689</v>
      </c>
      <c r="B5" s="29" t="s">
        <v>695</v>
      </c>
      <c r="C5" s="29" t="s">
        <v>699</v>
      </c>
      <c r="D5" s="29" t="s">
        <v>701</v>
      </c>
      <c r="E5" s="29" t="s">
        <v>705</v>
      </c>
    </row>
    <row r="6" spans="1:9" ht="15" customHeight="1" x14ac:dyDescent="0.3">
      <c r="A6" s="18">
        <v>1</v>
      </c>
      <c r="B6" s="30" t="s">
        <v>794</v>
      </c>
      <c r="C6" s="30" t="s">
        <v>795</v>
      </c>
      <c r="D6" s="30" t="s">
        <v>796</v>
      </c>
      <c r="E6" s="30" t="s">
        <v>797</v>
      </c>
    </row>
    <row r="7" spans="1:9" ht="15" customHeight="1" x14ac:dyDescent="0.3">
      <c r="A7" s="18">
        <v>2</v>
      </c>
      <c r="B7" s="30" t="s">
        <v>798</v>
      </c>
      <c r="C7" s="30" t="s">
        <v>799</v>
      </c>
      <c r="D7" s="30" t="s">
        <v>800</v>
      </c>
      <c r="E7" s="30" t="s">
        <v>801</v>
      </c>
    </row>
    <row r="8" spans="1:9" ht="15" customHeight="1" x14ac:dyDescent="0.3">
      <c r="A8" s="18">
        <v>3</v>
      </c>
      <c r="B8" s="30" t="s">
        <v>802</v>
      </c>
      <c r="C8" s="30" t="s">
        <v>803</v>
      </c>
      <c r="D8" s="30" t="s">
        <v>804</v>
      </c>
      <c r="E8" s="30" t="s">
        <v>805</v>
      </c>
    </row>
    <row r="9" spans="1:9" ht="15" customHeight="1" x14ac:dyDescent="0.3">
      <c r="A9" s="18">
        <v>4</v>
      </c>
      <c r="B9" s="30" t="s">
        <v>806</v>
      </c>
      <c r="C9" s="30" t="s">
        <v>807</v>
      </c>
      <c r="D9" s="30" t="s">
        <v>808</v>
      </c>
      <c r="E9" s="30" t="s">
        <v>809</v>
      </c>
    </row>
    <row r="12" spans="1:9" ht="15" customHeight="1" x14ac:dyDescent="0.3">
      <c r="A12" s="28" t="s">
        <v>810</v>
      </c>
    </row>
    <row r="13" spans="1:9" ht="15" customHeight="1" x14ac:dyDescent="0.3">
      <c r="A13" s="29" t="s">
        <v>710</v>
      </c>
      <c r="B13" s="29" t="s">
        <v>689</v>
      </c>
      <c r="C13" s="29" t="s">
        <v>715</v>
      </c>
      <c r="D13" s="29" t="s">
        <v>718</v>
      </c>
    </row>
    <row r="14" spans="1:9" ht="15" customHeight="1" x14ac:dyDescent="0.3">
      <c r="A14" s="18">
        <v>1001</v>
      </c>
      <c r="B14" s="18">
        <v>1</v>
      </c>
      <c r="C14" s="30" t="s">
        <v>811</v>
      </c>
      <c r="D14" s="31">
        <v>5000</v>
      </c>
    </row>
    <row r="15" spans="1:9" ht="15" customHeight="1" x14ac:dyDescent="0.3">
      <c r="A15" s="18">
        <v>1002</v>
      </c>
      <c r="B15" s="18">
        <v>1</v>
      </c>
      <c r="C15" s="30" t="s">
        <v>812</v>
      </c>
      <c r="D15" s="31">
        <v>2000</v>
      </c>
    </row>
    <row r="16" spans="1:9" ht="15" customHeight="1" x14ac:dyDescent="0.3">
      <c r="A16" s="18">
        <v>1003</v>
      </c>
      <c r="B16" s="18">
        <v>2</v>
      </c>
      <c r="C16" s="30" t="s">
        <v>813</v>
      </c>
      <c r="D16" s="31">
        <v>300</v>
      </c>
    </row>
    <row r="17" spans="1:4" ht="15" customHeight="1" x14ac:dyDescent="0.3">
      <c r="A17" s="18">
        <v>1004</v>
      </c>
      <c r="B17" s="18">
        <v>3</v>
      </c>
      <c r="C17" s="30" t="s">
        <v>811</v>
      </c>
      <c r="D17" s="31">
        <v>10000</v>
      </c>
    </row>
    <row r="18" spans="1:4" ht="15" customHeight="1" x14ac:dyDescent="0.3">
      <c r="A18" s="18">
        <v>1005</v>
      </c>
      <c r="B18" s="18">
        <v>4</v>
      </c>
      <c r="C18" s="30" t="s">
        <v>812</v>
      </c>
      <c r="D18" s="31">
        <v>0</v>
      </c>
    </row>
    <row r="21" spans="1:4" ht="15" customHeight="1" x14ac:dyDescent="0.3">
      <c r="A21" s="28" t="s">
        <v>814</v>
      </c>
    </row>
    <row r="22" spans="1:4" ht="15" customHeight="1" x14ac:dyDescent="0.3">
      <c r="A22" s="29" t="s">
        <v>724</v>
      </c>
      <c r="B22" s="29" t="s">
        <v>726</v>
      </c>
    </row>
    <row r="23" spans="1:4" ht="15" customHeight="1" x14ac:dyDescent="0.3">
      <c r="A23" s="18">
        <v>1</v>
      </c>
      <c r="B23" s="30" t="s">
        <v>815</v>
      </c>
    </row>
    <row r="24" spans="1:4" ht="15" customHeight="1" x14ac:dyDescent="0.3">
      <c r="A24" s="18">
        <v>2</v>
      </c>
      <c r="B24" s="30" t="s">
        <v>816</v>
      </c>
    </row>
    <row r="25" spans="1:4" ht="15" customHeight="1" x14ac:dyDescent="0.3">
      <c r="A25" s="18">
        <v>3</v>
      </c>
      <c r="B25" s="30" t="s">
        <v>817</v>
      </c>
    </row>
    <row r="26" spans="1:4" ht="15" customHeight="1" x14ac:dyDescent="0.3">
      <c r="A26" s="18">
        <v>4</v>
      </c>
      <c r="B26" s="30" t="s">
        <v>818</v>
      </c>
    </row>
    <row r="27" spans="1:4" ht="15" customHeight="1" x14ac:dyDescent="0.3">
      <c r="A27" s="18">
        <v>5</v>
      </c>
      <c r="B27" s="30" t="s">
        <v>819</v>
      </c>
    </row>
    <row r="30" spans="1:4" ht="15" customHeight="1" x14ac:dyDescent="0.3">
      <c r="A30" s="28" t="s">
        <v>820</v>
      </c>
    </row>
    <row r="31" spans="1:4" ht="15" customHeight="1" x14ac:dyDescent="0.3">
      <c r="A31" s="29" t="s">
        <v>759</v>
      </c>
      <c r="B31" s="29" t="s">
        <v>760</v>
      </c>
      <c r="C31" s="29" t="s">
        <v>762</v>
      </c>
    </row>
    <row r="32" spans="1:4" ht="15" customHeight="1" x14ac:dyDescent="0.3">
      <c r="A32" s="18">
        <v>1</v>
      </c>
      <c r="B32" s="30" t="s">
        <v>821</v>
      </c>
      <c r="C32" s="30" t="s">
        <v>822</v>
      </c>
    </row>
    <row r="33" spans="1:8" ht="15" customHeight="1" x14ac:dyDescent="0.3">
      <c r="A33" s="18">
        <v>2</v>
      </c>
      <c r="B33" s="30" t="s">
        <v>823</v>
      </c>
      <c r="C33" s="30" t="s">
        <v>824</v>
      </c>
    </row>
    <row r="36" spans="1:8" ht="15" customHeight="1" x14ac:dyDescent="0.3">
      <c r="A36" s="28" t="s">
        <v>825</v>
      </c>
    </row>
    <row r="37" spans="1:8" ht="15" customHeight="1" x14ac:dyDescent="0.3">
      <c r="A37" s="29" t="s">
        <v>766</v>
      </c>
      <c r="B37" s="29" t="s">
        <v>695</v>
      </c>
      <c r="C37" s="29" t="s">
        <v>759</v>
      </c>
    </row>
    <row r="38" spans="1:8" ht="15" customHeight="1" x14ac:dyDescent="0.3">
      <c r="A38" s="18">
        <v>1</v>
      </c>
      <c r="B38" s="30" t="s">
        <v>826</v>
      </c>
      <c r="C38" s="18">
        <v>1</v>
      </c>
    </row>
    <row r="39" spans="1:8" ht="15" customHeight="1" x14ac:dyDescent="0.3">
      <c r="A39" s="18">
        <v>2</v>
      </c>
      <c r="B39" s="30" t="s">
        <v>827</v>
      </c>
      <c r="C39" s="18">
        <v>2</v>
      </c>
    </row>
    <row r="42" spans="1:8" ht="15" customHeight="1" x14ac:dyDescent="0.3">
      <c r="A42" s="28" t="s">
        <v>828</v>
      </c>
    </row>
    <row r="43" spans="1:8" ht="15" customHeight="1" x14ac:dyDescent="0.3">
      <c r="A43" s="29" t="s">
        <v>730</v>
      </c>
      <c r="B43" s="29" t="s">
        <v>731</v>
      </c>
      <c r="C43" s="29" t="s">
        <v>734</v>
      </c>
      <c r="D43" s="29" t="s">
        <v>724</v>
      </c>
      <c r="E43" s="29" t="s">
        <v>738</v>
      </c>
      <c r="F43" s="29" t="s">
        <v>741</v>
      </c>
      <c r="G43" s="29" t="s">
        <v>744</v>
      </c>
      <c r="H43" s="29" t="s">
        <v>748</v>
      </c>
    </row>
    <row r="44" spans="1:8" ht="15" customHeight="1" x14ac:dyDescent="0.3">
      <c r="A44" s="18">
        <v>1</v>
      </c>
      <c r="B44" s="18">
        <v>1001</v>
      </c>
      <c r="C44" s="18">
        <v>1004</v>
      </c>
      <c r="D44" s="18" t="s">
        <v>829</v>
      </c>
      <c r="E44" s="30" t="s">
        <v>830</v>
      </c>
      <c r="F44" s="31">
        <v>100</v>
      </c>
      <c r="G44" s="30" t="s">
        <v>831</v>
      </c>
      <c r="H44" s="30" t="s">
        <v>832</v>
      </c>
    </row>
    <row r="45" spans="1:8" ht="15" customHeight="1" x14ac:dyDescent="0.3">
      <c r="A45" s="18">
        <v>2</v>
      </c>
      <c r="B45" s="18">
        <v>1002</v>
      </c>
      <c r="C45" s="18" t="s">
        <v>829</v>
      </c>
      <c r="D45" s="18">
        <v>1</v>
      </c>
      <c r="E45" s="30" t="s">
        <v>833</v>
      </c>
      <c r="F45" s="31">
        <v>50</v>
      </c>
      <c r="G45" s="30" t="s">
        <v>831</v>
      </c>
      <c r="H45" s="30" t="s">
        <v>834</v>
      </c>
    </row>
    <row r="46" spans="1:8" ht="15" customHeight="1" x14ac:dyDescent="0.3">
      <c r="A46" s="18">
        <v>3</v>
      </c>
      <c r="B46" s="18">
        <v>1003</v>
      </c>
      <c r="C46" s="18" t="s">
        <v>829</v>
      </c>
      <c r="D46" s="18" t="s">
        <v>829</v>
      </c>
      <c r="E46" s="30" t="s">
        <v>835</v>
      </c>
      <c r="F46" s="31">
        <v>20</v>
      </c>
      <c r="G46" s="30" t="s">
        <v>18</v>
      </c>
      <c r="H46" s="30" t="s">
        <v>836</v>
      </c>
    </row>
    <row r="49" spans="1:4" ht="15" customHeight="1" x14ac:dyDescent="0.3">
      <c r="A49" s="28" t="s">
        <v>837</v>
      </c>
    </row>
    <row r="50" spans="1:4" ht="15" customHeight="1" x14ac:dyDescent="0.3">
      <c r="A50" s="29" t="s">
        <v>751</v>
      </c>
      <c r="B50" s="29" t="s">
        <v>730</v>
      </c>
      <c r="C50" s="29" t="s">
        <v>753</v>
      </c>
      <c r="D50" s="29" t="s">
        <v>741</v>
      </c>
    </row>
    <row r="51" spans="1:4" ht="15" customHeight="1" x14ac:dyDescent="0.3">
      <c r="A51" s="18">
        <v>1</v>
      </c>
      <c r="B51" s="18">
        <v>1</v>
      </c>
      <c r="C51" s="30" t="s">
        <v>838</v>
      </c>
      <c r="D51" s="31">
        <v>2</v>
      </c>
    </row>
    <row r="52" spans="1:4" ht="15" customHeight="1" x14ac:dyDescent="0.3">
      <c r="A52" s="18">
        <v>2</v>
      </c>
      <c r="B52" s="18">
        <v>3</v>
      </c>
      <c r="C52" s="30" t="s">
        <v>839</v>
      </c>
      <c r="D52" s="31">
        <v>1</v>
      </c>
    </row>
  </sheetData>
  <pageMargins left="0.75" right="0.75" top="1" bottom="1" header="0.511811023622047" footer="0.511811023622047"/>
  <pageSetup fitToHeight="0" orientation="landscape"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7F7F7F"/>
    <pageSetUpPr fitToPage="1"/>
  </sheetPr>
  <dimension ref="A1:B127"/>
  <sheetViews>
    <sheetView showGridLines="0" topLeftCell="A70" zoomScaleNormal="100" workbookViewId="0"/>
  </sheetViews>
  <sheetFormatPr defaultColWidth="8.6640625" defaultRowHeight="14.4" x14ac:dyDescent="0.3"/>
  <cols>
    <col min="1" max="1" width="150" customWidth="1"/>
    <col min="2" max="2" width="14" customWidth="1"/>
  </cols>
  <sheetData>
    <row r="1" spans="1:2" ht="30" customHeight="1" x14ac:dyDescent="0.4">
      <c r="A1" s="2" t="s">
        <v>840</v>
      </c>
      <c r="B1" s="4"/>
    </row>
    <row r="2" spans="1:2" ht="19.5" customHeight="1" x14ac:dyDescent="0.3">
      <c r="A2" s="1" t="s">
        <v>841</v>
      </c>
      <c r="B2" s="6"/>
    </row>
    <row r="3" spans="1:2" x14ac:dyDescent="0.3">
      <c r="A3" s="32" t="s">
        <v>842</v>
      </c>
    </row>
    <row r="4" spans="1:2" ht="15" customHeight="1" x14ac:dyDescent="0.3">
      <c r="A4" s="33" t="s">
        <v>843</v>
      </c>
    </row>
    <row r="5" spans="1:2" ht="15" customHeight="1" x14ac:dyDescent="0.3">
      <c r="A5" s="32" t="s">
        <v>844</v>
      </c>
    </row>
    <row r="6" spans="1:2" ht="15" customHeight="1" x14ac:dyDescent="0.3">
      <c r="A6" s="32" t="s">
        <v>845</v>
      </c>
    </row>
    <row r="7" spans="1:2" ht="15" customHeight="1" x14ac:dyDescent="0.3">
      <c r="A7" s="32" t="s">
        <v>846</v>
      </c>
    </row>
    <row r="8" spans="1:2" ht="15" customHeight="1" x14ac:dyDescent="0.3">
      <c r="A8" s="32" t="s">
        <v>844</v>
      </c>
    </row>
    <row r="9" spans="1:2" ht="15" customHeight="1" x14ac:dyDescent="0.3">
      <c r="A9" s="32" t="s">
        <v>847</v>
      </c>
    </row>
    <row r="10" spans="1:2" ht="15" customHeight="1" x14ac:dyDescent="0.3">
      <c r="A10" s="32" t="s">
        <v>848</v>
      </c>
    </row>
    <row r="11" spans="1:2" ht="15" customHeight="1" x14ac:dyDescent="0.3">
      <c r="A11" s="32" t="s">
        <v>849</v>
      </c>
    </row>
    <row r="12" spans="1:2" ht="15" customHeight="1" x14ac:dyDescent="0.3">
      <c r="A12" s="32" t="s">
        <v>842</v>
      </c>
    </row>
    <row r="13" spans="1:2" ht="15" customHeight="1" x14ac:dyDescent="0.3">
      <c r="A13" s="32" t="s">
        <v>850</v>
      </c>
    </row>
    <row r="14" spans="1:2" ht="15" customHeight="1" x14ac:dyDescent="0.3">
      <c r="A14" s="32" t="s">
        <v>851</v>
      </c>
    </row>
    <row r="15" spans="1:2" ht="15" customHeight="1" x14ac:dyDescent="0.3">
      <c r="A15" s="32" t="s">
        <v>852</v>
      </c>
    </row>
    <row r="16" spans="1:2" ht="15" customHeight="1" x14ac:dyDescent="0.3">
      <c r="A16" s="32" t="s">
        <v>853</v>
      </c>
    </row>
    <row r="17" spans="1:1" ht="15" customHeight="1" x14ac:dyDescent="0.3">
      <c r="A17" s="32" t="s">
        <v>854</v>
      </c>
    </row>
    <row r="18" spans="1:1" ht="15" customHeight="1" x14ac:dyDescent="0.3">
      <c r="A18" s="32" t="s">
        <v>855</v>
      </c>
    </row>
    <row r="19" spans="1:1" ht="15" customHeight="1" x14ac:dyDescent="0.3">
      <c r="A19" s="32" t="s">
        <v>856</v>
      </c>
    </row>
    <row r="20" spans="1:1" ht="15" customHeight="1" x14ac:dyDescent="0.3">
      <c r="A20" s="32" t="s">
        <v>857</v>
      </c>
    </row>
    <row r="21" spans="1:1" ht="15" customHeight="1" x14ac:dyDescent="0.3">
      <c r="A21" s="32" t="s">
        <v>858</v>
      </c>
    </row>
    <row r="22" spans="1:1" ht="15" customHeight="1" x14ac:dyDescent="0.3">
      <c r="A22" s="32" t="s">
        <v>842</v>
      </c>
    </row>
    <row r="23" spans="1:1" ht="15" customHeight="1" x14ac:dyDescent="0.3">
      <c r="A23" s="32" t="s">
        <v>859</v>
      </c>
    </row>
    <row r="24" spans="1:1" ht="15" customHeight="1" x14ac:dyDescent="0.3">
      <c r="A24" s="32" t="s">
        <v>860</v>
      </c>
    </row>
    <row r="25" spans="1:1" ht="15" customHeight="1" x14ac:dyDescent="0.3">
      <c r="A25" s="32" t="s">
        <v>861</v>
      </c>
    </row>
    <row r="26" spans="1:1" ht="15" customHeight="1" x14ac:dyDescent="0.3">
      <c r="A26" s="32" t="s">
        <v>862</v>
      </c>
    </row>
    <row r="27" spans="1:1" ht="15" customHeight="1" x14ac:dyDescent="0.3">
      <c r="A27" s="32" t="s">
        <v>863</v>
      </c>
    </row>
    <row r="28" spans="1:1" ht="15" customHeight="1" x14ac:dyDescent="0.3">
      <c r="A28" s="32" t="s">
        <v>864</v>
      </c>
    </row>
    <row r="29" spans="1:1" ht="15" customHeight="1" x14ac:dyDescent="0.3">
      <c r="A29" s="32" t="s">
        <v>865</v>
      </c>
    </row>
    <row r="30" spans="1:1" ht="15" customHeight="1" x14ac:dyDescent="0.3">
      <c r="A30" s="32" t="s">
        <v>866</v>
      </c>
    </row>
    <row r="31" spans="1:1" ht="15" customHeight="1" x14ac:dyDescent="0.3">
      <c r="A31" s="32" t="s">
        <v>867</v>
      </c>
    </row>
    <row r="32" spans="1:1" ht="15" customHeight="1" x14ac:dyDescent="0.3">
      <c r="A32" s="32" t="s">
        <v>858</v>
      </c>
    </row>
    <row r="33" spans="1:1" ht="15" customHeight="1" x14ac:dyDescent="0.3">
      <c r="A33" s="32" t="s">
        <v>842</v>
      </c>
    </row>
    <row r="34" spans="1:1" ht="15" customHeight="1" x14ac:dyDescent="0.3">
      <c r="A34" s="32" t="s">
        <v>868</v>
      </c>
    </row>
    <row r="35" spans="1:1" ht="15" customHeight="1" x14ac:dyDescent="0.3">
      <c r="A35" s="32" t="s">
        <v>869</v>
      </c>
    </row>
    <row r="36" spans="1:1" ht="15" customHeight="1" x14ac:dyDescent="0.3">
      <c r="A36" s="32" t="s">
        <v>870</v>
      </c>
    </row>
    <row r="37" spans="1:1" ht="15" customHeight="1" x14ac:dyDescent="0.3">
      <c r="A37" s="32" t="s">
        <v>871</v>
      </c>
    </row>
    <row r="38" spans="1:1" ht="15" customHeight="1" x14ac:dyDescent="0.3">
      <c r="A38" s="32" t="s">
        <v>872</v>
      </c>
    </row>
    <row r="39" spans="1:1" ht="15" customHeight="1" x14ac:dyDescent="0.3">
      <c r="A39" s="32" t="s">
        <v>858</v>
      </c>
    </row>
    <row r="40" spans="1:1" ht="15" customHeight="1" x14ac:dyDescent="0.3">
      <c r="A40" s="32" t="s">
        <v>842</v>
      </c>
    </row>
    <row r="41" spans="1:1" ht="15" customHeight="1" x14ac:dyDescent="0.3">
      <c r="A41" s="32" t="s">
        <v>873</v>
      </c>
    </row>
    <row r="42" spans="1:1" ht="15" customHeight="1" x14ac:dyDescent="0.3">
      <c r="A42" s="32" t="s">
        <v>874</v>
      </c>
    </row>
    <row r="43" spans="1:1" ht="15" customHeight="1" x14ac:dyDescent="0.3">
      <c r="A43" s="32" t="s">
        <v>875</v>
      </c>
    </row>
    <row r="44" spans="1:1" ht="15" customHeight="1" x14ac:dyDescent="0.3">
      <c r="A44" s="32" t="s">
        <v>876</v>
      </c>
    </row>
    <row r="45" spans="1:1" ht="15" customHeight="1" x14ac:dyDescent="0.3">
      <c r="A45" s="32" t="s">
        <v>877</v>
      </c>
    </row>
    <row r="46" spans="1:1" ht="15" customHeight="1" x14ac:dyDescent="0.3">
      <c r="A46" s="32" t="s">
        <v>878</v>
      </c>
    </row>
    <row r="47" spans="1:1" ht="15" customHeight="1" x14ac:dyDescent="0.3">
      <c r="A47" s="32" t="s">
        <v>879</v>
      </c>
    </row>
    <row r="48" spans="1:1" ht="15" customHeight="1" x14ac:dyDescent="0.3">
      <c r="A48" s="32" t="s">
        <v>880</v>
      </c>
    </row>
    <row r="49" spans="1:1" ht="15" customHeight="1" x14ac:dyDescent="0.3">
      <c r="A49" s="32" t="s">
        <v>881</v>
      </c>
    </row>
    <row r="50" spans="1:1" ht="15" customHeight="1" x14ac:dyDescent="0.3">
      <c r="A50" s="32" t="s">
        <v>882</v>
      </c>
    </row>
    <row r="51" spans="1:1" ht="15" customHeight="1" x14ac:dyDescent="0.3">
      <c r="A51" s="32" t="s">
        <v>883</v>
      </c>
    </row>
    <row r="52" spans="1:1" ht="15" customHeight="1" x14ac:dyDescent="0.3">
      <c r="A52" s="32" t="s">
        <v>884</v>
      </c>
    </row>
    <row r="53" spans="1:1" ht="15" customHeight="1" x14ac:dyDescent="0.3">
      <c r="A53" s="32" t="s">
        <v>885</v>
      </c>
    </row>
    <row r="54" spans="1:1" ht="15" customHeight="1" x14ac:dyDescent="0.3">
      <c r="A54" s="32" t="s">
        <v>886</v>
      </c>
    </row>
    <row r="55" spans="1:1" ht="15" customHeight="1" x14ac:dyDescent="0.3">
      <c r="A55" s="32" t="s">
        <v>887</v>
      </c>
    </row>
    <row r="56" spans="1:1" ht="15" customHeight="1" x14ac:dyDescent="0.3">
      <c r="A56" s="32" t="s">
        <v>888</v>
      </c>
    </row>
    <row r="57" spans="1:1" ht="15" customHeight="1" x14ac:dyDescent="0.3">
      <c r="A57" s="32" t="s">
        <v>889</v>
      </c>
    </row>
    <row r="58" spans="1:1" ht="15" customHeight="1" x14ac:dyDescent="0.3">
      <c r="A58" s="32" t="s">
        <v>858</v>
      </c>
    </row>
    <row r="59" spans="1:1" ht="15" customHeight="1" x14ac:dyDescent="0.3">
      <c r="A59" s="32" t="s">
        <v>842</v>
      </c>
    </row>
    <row r="60" spans="1:1" ht="15" customHeight="1" x14ac:dyDescent="0.3">
      <c r="A60" s="32" t="s">
        <v>890</v>
      </c>
    </row>
    <row r="61" spans="1:1" ht="15" customHeight="1" x14ac:dyDescent="0.3">
      <c r="A61" s="32" t="s">
        <v>891</v>
      </c>
    </row>
    <row r="62" spans="1:1" ht="15" customHeight="1" x14ac:dyDescent="0.3">
      <c r="A62" s="32" t="s">
        <v>892</v>
      </c>
    </row>
    <row r="63" spans="1:1" ht="15" customHeight="1" x14ac:dyDescent="0.3">
      <c r="A63" s="32" t="s">
        <v>893</v>
      </c>
    </row>
    <row r="64" spans="1:1" ht="15" customHeight="1" x14ac:dyDescent="0.3">
      <c r="A64" s="32" t="s">
        <v>894</v>
      </c>
    </row>
    <row r="65" spans="1:1" ht="15" customHeight="1" x14ac:dyDescent="0.3">
      <c r="A65" s="32" t="s">
        <v>895</v>
      </c>
    </row>
    <row r="66" spans="1:1" ht="15" customHeight="1" x14ac:dyDescent="0.3">
      <c r="A66" s="32" t="s">
        <v>896</v>
      </c>
    </row>
    <row r="67" spans="1:1" ht="15" customHeight="1" x14ac:dyDescent="0.3">
      <c r="A67" s="32" t="s">
        <v>897</v>
      </c>
    </row>
    <row r="68" spans="1:1" x14ac:dyDescent="0.3">
      <c r="A68" s="32" t="s">
        <v>898</v>
      </c>
    </row>
    <row r="69" spans="1:1" x14ac:dyDescent="0.3">
      <c r="A69" s="32" t="s">
        <v>858</v>
      </c>
    </row>
    <row r="70" spans="1:1" ht="15" customHeight="1" x14ac:dyDescent="0.3">
      <c r="A70" s="32" t="s">
        <v>842</v>
      </c>
    </row>
    <row r="71" spans="1:1" ht="15" customHeight="1" x14ac:dyDescent="0.3">
      <c r="A71" s="32" t="s">
        <v>899</v>
      </c>
    </row>
    <row r="72" spans="1:1" ht="15" customHeight="1" x14ac:dyDescent="0.3">
      <c r="A72" s="32" t="s">
        <v>900</v>
      </c>
    </row>
    <row r="73" spans="1:1" ht="15" customHeight="1" x14ac:dyDescent="0.3">
      <c r="A73" s="32" t="s">
        <v>901</v>
      </c>
    </row>
    <row r="74" spans="1:1" ht="15" customHeight="1" x14ac:dyDescent="0.3">
      <c r="A74" s="32" t="s">
        <v>902</v>
      </c>
    </row>
    <row r="75" spans="1:1" ht="15" customHeight="1" x14ac:dyDescent="0.3">
      <c r="A75" s="32" t="s">
        <v>903</v>
      </c>
    </row>
    <row r="76" spans="1:1" ht="15" customHeight="1" x14ac:dyDescent="0.3">
      <c r="A76" s="32" t="s">
        <v>858</v>
      </c>
    </row>
    <row r="77" spans="1:1" ht="15" customHeight="1" x14ac:dyDescent="0.3">
      <c r="A77" s="32" t="s">
        <v>842</v>
      </c>
    </row>
    <row r="78" spans="1:1" ht="15" customHeight="1" x14ac:dyDescent="0.3">
      <c r="A78" s="32" t="s">
        <v>904</v>
      </c>
    </row>
    <row r="79" spans="1:1" ht="15" customHeight="1" x14ac:dyDescent="0.3">
      <c r="A79" s="32" t="s">
        <v>905</v>
      </c>
    </row>
    <row r="80" spans="1:1" ht="15" customHeight="1" x14ac:dyDescent="0.3">
      <c r="A80" s="32" t="s">
        <v>852</v>
      </c>
    </row>
    <row r="81" spans="1:1" ht="15" customHeight="1" x14ac:dyDescent="0.3">
      <c r="A81" s="32" t="s">
        <v>906</v>
      </c>
    </row>
    <row r="82" spans="1:1" ht="15" customHeight="1" x14ac:dyDescent="0.3">
      <c r="A82" s="32" t="s">
        <v>907</v>
      </c>
    </row>
    <row r="83" spans="1:1" ht="15" customHeight="1" x14ac:dyDescent="0.3">
      <c r="A83" s="32" t="s">
        <v>908</v>
      </c>
    </row>
    <row r="84" spans="1:1" ht="15" customHeight="1" x14ac:dyDescent="0.3">
      <c r="A84" s="32" t="s">
        <v>909</v>
      </c>
    </row>
    <row r="85" spans="1:1" ht="15" customHeight="1" x14ac:dyDescent="0.3">
      <c r="A85" s="32" t="s">
        <v>858</v>
      </c>
    </row>
    <row r="86" spans="1:1" ht="15" customHeight="1" x14ac:dyDescent="0.3">
      <c r="A86" s="32" t="s">
        <v>842</v>
      </c>
    </row>
    <row r="87" spans="1:1" ht="15" customHeight="1" x14ac:dyDescent="0.3">
      <c r="A87" s="32" t="s">
        <v>842</v>
      </c>
    </row>
    <row r="88" spans="1:1" ht="15" customHeight="1" x14ac:dyDescent="0.3">
      <c r="A88" s="33" t="s">
        <v>910</v>
      </c>
    </row>
    <row r="89" spans="1:1" ht="15" customHeight="1" x14ac:dyDescent="0.3">
      <c r="A89" s="32" t="s">
        <v>911</v>
      </c>
    </row>
    <row r="90" spans="1:1" ht="15" customHeight="1" x14ac:dyDescent="0.3">
      <c r="A90" s="32" t="s">
        <v>849</v>
      </c>
    </row>
    <row r="91" spans="1:1" ht="15" customHeight="1" x14ac:dyDescent="0.3">
      <c r="A91" s="32" t="s">
        <v>912</v>
      </c>
    </row>
    <row r="92" spans="1:1" ht="15" customHeight="1" x14ac:dyDescent="0.3">
      <c r="A92" s="32" t="s">
        <v>913</v>
      </c>
    </row>
    <row r="93" spans="1:1" ht="15" customHeight="1" x14ac:dyDescent="0.3">
      <c r="A93" s="32" t="s">
        <v>914</v>
      </c>
    </row>
    <row r="94" spans="1:1" ht="15" customHeight="1" x14ac:dyDescent="0.3">
      <c r="A94" s="32" t="s">
        <v>915</v>
      </c>
    </row>
    <row r="95" spans="1:1" ht="15" customHeight="1" x14ac:dyDescent="0.3">
      <c r="A95" s="32" t="s">
        <v>916</v>
      </c>
    </row>
    <row r="96" spans="1:1" ht="15" customHeight="1" x14ac:dyDescent="0.3">
      <c r="A96" s="32" t="s">
        <v>842</v>
      </c>
    </row>
    <row r="97" spans="1:1" ht="15" customHeight="1" x14ac:dyDescent="0.3">
      <c r="A97" s="32" t="s">
        <v>917</v>
      </c>
    </row>
    <row r="98" spans="1:1" ht="15" customHeight="1" x14ac:dyDescent="0.3">
      <c r="A98" s="32" t="s">
        <v>918</v>
      </c>
    </row>
    <row r="99" spans="1:1" ht="15" customHeight="1" x14ac:dyDescent="0.3">
      <c r="A99" s="32" t="s">
        <v>919</v>
      </c>
    </row>
    <row r="100" spans="1:1" ht="15" customHeight="1" x14ac:dyDescent="0.3">
      <c r="A100" s="32" t="s">
        <v>920</v>
      </c>
    </row>
    <row r="101" spans="1:1" ht="15" customHeight="1" x14ac:dyDescent="0.3">
      <c r="A101" s="32" t="s">
        <v>921</v>
      </c>
    </row>
    <row r="102" spans="1:1" ht="15" customHeight="1" x14ac:dyDescent="0.3">
      <c r="A102" s="32" t="s">
        <v>922</v>
      </c>
    </row>
    <row r="103" spans="1:1" x14ac:dyDescent="0.3">
      <c r="A103" s="32" t="s">
        <v>842</v>
      </c>
    </row>
    <row r="104" spans="1:1" x14ac:dyDescent="0.3">
      <c r="A104" s="32" t="s">
        <v>923</v>
      </c>
    </row>
    <row r="105" spans="1:1" x14ac:dyDescent="0.3">
      <c r="A105" s="32" t="s">
        <v>924</v>
      </c>
    </row>
    <row r="106" spans="1:1" x14ac:dyDescent="0.3">
      <c r="A106" s="32" t="s">
        <v>925</v>
      </c>
    </row>
    <row r="107" spans="1:1" x14ac:dyDescent="0.3">
      <c r="A107" s="32" t="s">
        <v>926</v>
      </c>
    </row>
    <row r="108" spans="1:1" x14ac:dyDescent="0.3">
      <c r="A108" s="32" t="s">
        <v>927</v>
      </c>
    </row>
    <row r="109" spans="1:1" x14ac:dyDescent="0.3">
      <c r="A109" s="32" t="s">
        <v>928</v>
      </c>
    </row>
    <row r="110" spans="1:1" x14ac:dyDescent="0.3">
      <c r="A110" s="32" t="s">
        <v>842</v>
      </c>
    </row>
    <row r="111" spans="1:1" x14ac:dyDescent="0.3">
      <c r="A111" s="32" t="s">
        <v>929</v>
      </c>
    </row>
    <row r="112" spans="1:1" x14ac:dyDescent="0.3">
      <c r="A112" s="32" t="s">
        <v>930</v>
      </c>
    </row>
    <row r="113" spans="1:1" x14ac:dyDescent="0.3">
      <c r="A113" s="32" t="s">
        <v>931</v>
      </c>
    </row>
    <row r="114" spans="1:1" x14ac:dyDescent="0.3">
      <c r="A114" s="32" t="s">
        <v>842</v>
      </c>
    </row>
    <row r="115" spans="1:1" x14ac:dyDescent="0.3">
      <c r="A115" s="32" t="s">
        <v>932</v>
      </c>
    </row>
    <row r="116" spans="1:1" x14ac:dyDescent="0.3">
      <c r="A116" s="32" t="s">
        <v>933</v>
      </c>
    </row>
    <row r="117" spans="1:1" x14ac:dyDescent="0.3">
      <c r="A117" s="32" t="s">
        <v>934</v>
      </c>
    </row>
    <row r="118" spans="1:1" x14ac:dyDescent="0.3">
      <c r="A118" s="32" t="s">
        <v>842</v>
      </c>
    </row>
    <row r="119" spans="1:1" x14ac:dyDescent="0.3">
      <c r="A119" s="32" t="s">
        <v>935</v>
      </c>
    </row>
    <row r="120" spans="1:1" x14ac:dyDescent="0.3">
      <c r="A120" s="32" t="s">
        <v>936</v>
      </c>
    </row>
    <row r="121" spans="1:1" x14ac:dyDescent="0.3">
      <c r="A121" s="32" t="s">
        <v>937</v>
      </c>
    </row>
    <row r="122" spans="1:1" x14ac:dyDescent="0.3">
      <c r="A122" s="32" t="s">
        <v>938</v>
      </c>
    </row>
    <row r="123" spans="1:1" x14ac:dyDescent="0.3">
      <c r="A123" s="32" t="s">
        <v>842</v>
      </c>
    </row>
    <row r="124" spans="1:1" x14ac:dyDescent="0.3">
      <c r="A124" s="32" t="s">
        <v>939</v>
      </c>
    </row>
    <row r="125" spans="1:1" x14ac:dyDescent="0.3">
      <c r="A125" s="32" t="s">
        <v>940</v>
      </c>
    </row>
    <row r="126" spans="1:1" x14ac:dyDescent="0.3">
      <c r="A126" s="32" t="s">
        <v>941</v>
      </c>
    </row>
    <row r="127" spans="1:1" x14ac:dyDescent="0.3">
      <c r="A127" s="32" t="s">
        <v>842</v>
      </c>
    </row>
  </sheetData>
  <pageMargins left="0.75" right="0.75" top="1" bottom="1" header="0.511811023622047" footer="0.511811023622047"/>
  <pageSetup fitToHeight="0" orientation="landscape"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7</vt:i4>
      </vt:variant>
    </vt:vector>
  </HeadingPairs>
  <TitlesOfParts>
    <vt:vector size="7" baseType="lpstr">
      <vt:lpstr>Summary</vt:lpstr>
      <vt:lpstr>Test Cases</vt:lpstr>
      <vt:lpstr>Bug Reports</vt:lpstr>
      <vt:lpstr>DB Schema</vt:lpstr>
      <vt:lpstr>DB ERD</vt:lpstr>
      <vt:lpstr>DB Seed Data</vt:lpstr>
      <vt:lpstr>DB Scripts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Abdallah MEaad</cp:lastModifiedBy>
  <cp:revision>2</cp:revision>
  <dcterms:created xsi:type="dcterms:W3CDTF">2026-10-01T09:09:04Z</dcterms:created>
  <dcterms:modified xsi:type="dcterms:W3CDTF">2026-10-01T10:45:09Z</dcterms:modified>
  <dc:language>en-US</dc:language>
</cp:coreProperties>
</file>